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kiko/Documents/!Studium/5. Semester/Projekt-Praktikum/Arbeitsplan/Aktueller Arbeitsplan/"/>
    </mc:Choice>
  </mc:AlternateContent>
  <xr:revisionPtr revIDLastSave="0" documentId="13_ncr:1_{CE7C72D0-83DC-1740-85E8-2C2EADEAFFBC}" xr6:coauthVersionLast="47" xr6:coauthVersionMax="47" xr10:uidLastSave="{00000000-0000-0000-0000-000000000000}"/>
  <bookViews>
    <workbookView xWindow="0" yWindow="680" windowWidth="34200" windowHeight="21460" xr2:uid="{00000000-000D-0000-FFFF-FFFF00000000}"/>
  </bookViews>
  <sheets>
    <sheet name="Arbeitsplan" sheetId="1" r:id="rId1"/>
    <sheet name="Termine" sheetId="2" r:id="rId2"/>
  </sheets>
  <definedNames>
    <definedName name="Labortage">Termine!$B$22:$B$41</definedName>
    <definedName name="PauseEnde">Termine!$D$45</definedName>
    <definedName name="PauseStart">Termine!$B$45</definedName>
    <definedName name="_xlnm.Print_Titles" localSheetId="0">Arbeitsplan!$4:$8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6" i="2" l="1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H18" i="2"/>
  <c r="D18" i="2"/>
  <c r="C18" i="2"/>
  <c r="H17" i="2"/>
  <c r="D17" i="2"/>
  <c r="C17" i="2"/>
  <c r="H16" i="2"/>
  <c r="D16" i="2"/>
  <c r="C16" i="2"/>
  <c r="H15" i="2"/>
  <c r="D15" i="2"/>
  <c r="C15" i="2"/>
  <c r="H14" i="2"/>
  <c r="D14" i="2"/>
  <c r="C14" i="2"/>
  <c r="H13" i="2"/>
  <c r="D13" i="2"/>
  <c r="C13" i="2"/>
  <c r="H12" i="2"/>
  <c r="D12" i="2"/>
  <c r="C12" i="2"/>
  <c r="H11" i="2"/>
  <c r="D11" i="2"/>
  <c r="C11" i="2"/>
  <c r="H10" i="2"/>
  <c r="D10" i="2"/>
  <c r="C10" i="2"/>
  <c r="H9" i="2"/>
  <c r="D9" i="2"/>
  <c r="C9" i="2"/>
  <c r="H8" i="2"/>
  <c r="D8" i="2"/>
  <c r="C8" i="2"/>
  <c r="H7" i="2"/>
  <c r="D7" i="2"/>
  <c r="C7" i="2"/>
  <c r="H6" i="2"/>
  <c r="D6" i="2"/>
  <c r="C6" i="2"/>
  <c r="F85" i="1"/>
  <c r="D85" i="1"/>
  <c r="F84" i="1"/>
  <c r="F83" i="1"/>
  <c r="D83" i="1"/>
  <c r="E83" i="1" s="1"/>
  <c r="F82" i="1"/>
  <c r="F81" i="1"/>
  <c r="D81" i="1"/>
  <c r="F80" i="1"/>
  <c r="F79" i="1"/>
  <c r="D79" i="1"/>
  <c r="F78" i="1"/>
  <c r="F77" i="1"/>
  <c r="D77" i="1"/>
  <c r="F76" i="1"/>
  <c r="D76" i="1"/>
  <c r="F75" i="1"/>
  <c r="F74" i="1"/>
  <c r="D74" i="1"/>
  <c r="F73" i="1"/>
  <c r="F72" i="1"/>
  <c r="D72" i="1"/>
  <c r="F71" i="1"/>
  <c r="D71" i="1"/>
  <c r="AD71" i="1" s="1"/>
  <c r="F70" i="1"/>
  <c r="F69" i="1"/>
  <c r="D69" i="1"/>
  <c r="F68" i="1"/>
  <c r="D68" i="1"/>
  <c r="G67" i="1"/>
  <c r="F66" i="1"/>
  <c r="D66" i="1"/>
  <c r="F65" i="1"/>
  <c r="D65" i="1"/>
  <c r="E65" i="1" s="1"/>
  <c r="F64" i="1"/>
  <c r="F63" i="1"/>
  <c r="G62" i="1"/>
  <c r="F61" i="1"/>
  <c r="F60" i="1"/>
  <c r="F59" i="1"/>
  <c r="F58" i="1"/>
  <c r="F57" i="1"/>
  <c r="G56" i="1"/>
  <c r="E56" i="1"/>
  <c r="D56" i="1"/>
  <c r="F55" i="1"/>
  <c r="F54" i="1"/>
  <c r="F53" i="1"/>
  <c r="F52" i="1"/>
  <c r="F51" i="1"/>
  <c r="F50" i="1"/>
  <c r="G49" i="1"/>
  <c r="E49" i="1"/>
  <c r="D49" i="1"/>
  <c r="F48" i="1"/>
  <c r="F47" i="1"/>
  <c r="F46" i="1"/>
  <c r="F45" i="1"/>
  <c r="F44" i="1"/>
  <c r="G43" i="1"/>
  <c r="G41" i="1" s="1"/>
  <c r="G40" i="1" s="1"/>
  <c r="E43" i="1"/>
  <c r="D43" i="1"/>
  <c r="D41" i="1" s="1"/>
  <c r="F42" i="1"/>
  <c r="F39" i="1"/>
  <c r="F38" i="1"/>
  <c r="L37" i="1"/>
  <c r="F37" i="1"/>
  <c r="G36" i="1"/>
  <c r="E36" i="1"/>
  <c r="D36" i="1"/>
  <c r="F35" i="1"/>
  <c r="F34" i="1"/>
  <c r="F33" i="1"/>
  <c r="F32" i="1"/>
  <c r="F31" i="1"/>
  <c r="F30" i="1"/>
  <c r="G29" i="1"/>
  <c r="E29" i="1"/>
  <c r="D29" i="1"/>
  <c r="F27" i="1"/>
  <c r="F26" i="1"/>
  <c r="F25" i="1"/>
  <c r="F24" i="1"/>
  <c r="F23" i="1"/>
  <c r="F22" i="1"/>
  <c r="F21" i="1"/>
  <c r="G20" i="1"/>
  <c r="G18" i="1" s="1"/>
  <c r="E20" i="1"/>
  <c r="E18" i="1" s="1"/>
  <c r="D20" i="1"/>
  <c r="D18" i="1" s="1"/>
  <c r="F19" i="1"/>
  <c r="F16" i="1"/>
  <c r="F15" i="1"/>
  <c r="N14" i="1"/>
  <c r="F14" i="1"/>
  <c r="F13" i="1"/>
  <c r="O12" i="1"/>
  <c r="F12" i="1"/>
  <c r="F11" i="1"/>
  <c r="N10" i="1"/>
  <c r="F10" i="1"/>
  <c r="G9" i="1"/>
  <c r="E9" i="1"/>
  <c r="D9" i="1"/>
  <c r="AF6" i="1"/>
  <c r="AF27" i="1" s="1"/>
  <c r="AE6" i="1"/>
  <c r="AE14" i="1" s="1"/>
  <c r="AD6" i="1"/>
  <c r="AD59" i="1" s="1"/>
  <c r="AC6" i="1"/>
  <c r="AC33" i="1" s="1"/>
  <c r="AB6" i="1"/>
  <c r="AB15" i="1" s="1"/>
  <c r="AA6" i="1"/>
  <c r="AA19" i="1" s="1"/>
  <c r="Z6" i="1"/>
  <c r="Z22" i="1" s="1"/>
  <c r="Y6" i="1"/>
  <c r="X6" i="1"/>
  <c r="X15" i="1" s="1"/>
  <c r="W6" i="1"/>
  <c r="V6" i="1"/>
  <c r="U6" i="1"/>
  <c r="U57" i="1" s="1"/>
  <c r="T6" i="1"/>
  <c r="T33" i="1" s="1"/>
  <c r="S6" i="1"/>
  <c r="S14" i="1" s="1"/>
  <c r="R6" i="1"/>
  <c r="R32" i="1" s="1"/>
  <c r="Q6" i="1"/>
  <c r="Q14" i="1" s="1"/>
  <c r="P6" i="1"/>
  <c r="P24" i="1" s="1"/>
  <c r="O6" i="1"/>
  <c r="O11" i="1" s="1"/>
  <c r="N6" i="1"/>
  <c r="N59" i="1" s="1"/>
  <c r="M6" i="1"/>
  <c r="M78" i="1" s="1"/>
  <c r="L6" i="1"/>
  <c r="L32" i="1" s="1"/>
  <c r="K6" i="1"/>
  <c r="K47" i="1" s="1"/>
  <c r="J6" i="1"/>
  <c r="J42" i="1" s="1"/>
  <c r="G1" i="1"/>
  <c r="M18" i="1" l="1"/>
  <c r="D28" i="1"/>
  <c r="V65" i="1"/>
  <c r="N24" i="1"/>
  <c r="F49" i="1"/>
  <c r="V8" i="1"/>
  <c r="V10" i="1"/>
  <c r="N21" i="1"/>
  <c r="J33" i="1"/>
  <c r="AD37" i="1"/>
  <c r="AD61" i="1"/>
  <c r="U61" i="1"/>
  <c r="AD8" i="1"/>
  <c r="AD11" i="1"/>
  <c r="AE38" i="1"/>
  <c r="AC45" i="1"/>
  <c r="AC8" i="1"/>
  <c r="U21" i="1"/>
  <c r="AD9" i="1"/>
  <c r="G28" i="1"/>
  <c r="K31" i="1"/>
  <c r="V14" i="1"/>
  <c r="M19" i="1"/>
  <c r="U25" i="1"/>
  <c r="N19" i="1"/>
  <c r="N11" i="1"/>
  <c r="AA12" i="1"/>
  <c r="N15" i="1"/>
  <c r="M23" i="1"/>
  <c r="T30" i="1"/>
  <c r="U36" i="1"/>
  <c r="AD43" i="1"/>
  <c r="U52" i="1"/>
  <c r="M77" i="1"/>
  <c r="S15" i="1"/>
  <c r="N23" i="1"/>
  <c r="AD26" i="1"/>
  <c r="F36" i="1"/>
  <c r="V39" i="1"/>
  <c r="D62" i="1"/>
  <c r="AC74" i="1"/>
  <c r="AA49" i="1"/>
  <c r="V12" i="1"/>
  <c r="AC43" i="1"/>
  <c r="N20" i="1"/>
  <c r="V26" i="1"/>
  <c r="L8" i="1"/>
  <c r="V9" i="1"/>
  <c r="V11" i="1"/>
  <c r="N13" i="1"/>
  <c r="AC23" i="1"/>
  <c r="AD39" i="1"/>
  <c r="AD44" i="1"/>
  <c r="K33" i="1"/>
  <c r="Y66" i="1"/>
  <c r="M8" i="1"/>
  <c r="W9" i="1"/>
  <c r="AA11" i="1"/>
  <c r="AE13" i="1"/>
  <c r="AC16" i="1"/>
  <c r="N27" i="1"/>
  <c r="U8" i="1"/>
  <c r="N18" i="1"/>
  <c r="AD21" i="1"/>
  <c r="N26" i="1"/>
  <c r="M31" i="1"/>
  <c r="N36" i="1"/>
  <c r="AD38" i="1"/>
  <c r="AC44" i="1"/>
  <c r="AF47" i="1"/>
  <c r="M50" i="1"/>
  <c r="Z54" i="1"/>
  <c r="P29" i="1"/>
  <c r="J9" i="1"/>
  <c r="M16" i="1"/>
  <c r="U18" i="1"/>
  <c r="M34" i="1"/>
  <c r="Z8" i="1"/>
  <c r="K9" i="1"/>
  <c r="AD10" i="1"/>
  <c r="V13" i="1"/>
  <c r="AD14" i="1"/>
  <c r="T16" i="1"/>
  <c r="AD18" i="1"/>
  <c r="J22" i="1"/>
  <c r="X26" i="1"/>
  <c r="AE31" i="1"/>
  <c r="X34" i="1"/>
  <c r="V36" i="1"/>
  <c r="U51" i="1"/>
  <c r="U55" i="1"/>
  <c r="AB59" i="1"/>
  <c r="AF16" i="1"/>
  <c r="V18" i="1"/>
  <c r="AC31" i="1"/>
  <c r="AB8" i="1"/>
  <c r="N9" i="1"/>
  <c r="N12" i="1"/>
  <c r="AD13" i="1"/>
  <c r="U16" i="1"/>
  <c r="AE18" i="1"/>
  <c r="V24" i="1"/>
  <c r="AC26" i="1"/>
  <c r="T39" i="1"/>
  <c r="V45" i="1"/>
  <c r="AC53" i="1"/>
  <c r="S18" i="1"/>
  <c r="N8" i="1"/>
  <c r="K10" i="1"/>
  <c r="Z11" i="1"/>
  <c r="AD12" i="1"/>
  <c r="R14" i="1"/>
  <c r="V19" i="1"/>
  <c r="V21" i="1"/>
  <c r="AD23" i="1"/>
  <c r="M26" i="1"/>
  <c r="V38" i="1"/>
  <c r="AC47" i="1"/>
  <c r="N57" i="1"/>
  <c r="G17" i="1"/>
  <c r="O84" i="1"/>
  <c r="O64" i="1"/>
  <c r="O63" i="1"/>
  <c r="O78" i="1"/>
  <c r="O61" i="1"/>
  <c r="O60" i="1"/>
  <c r="O59" i="1"/>
  <c r="O58" i="1"/>
  <c r="O57" i="1"/>
  <c r="O48" i="1"/>
  <c r="O47" i="1"/>
  <c r="O46" i="1"/>
  <c r="O45" i="1"/>
  <c r="O80" i="1"/>
  <c r="O66" i="1"/>
  <c r="O75" i="1"/>
  <c r="O70" i="1"/>
  <c r="O68" i="1"/>
  <c r="O52" i="1"/>
  <c r="O82" i="1"/>
  <c r="O73" i="1"/>
  <c r="O55" i="1"/>
  <c r="O51" i="1"/>
  <c r="O53" i="1"/>
  <c r="O49" i="1"/>
  <c r="O42" i="1"/>
  <c r="O39" i="1"/>
  <c r="O38" i="1"/>
  <c r="O37" i="1"/>
  <c r="O35" i="1"/>
  <c r="O25" i="1"/>
  <c r="O30" i="1"/>
  <c r="O50" i="1"/>
  <c r="O43" i="1"/>
  <c r="O36" i="1"/>
  <c r="O33" i="1"/>
  <c r="O23" i="1"/>
  <c r="O76" i="1"/>
  <c r="O44" i="1"/>
  <c r="O32" i="1"/>
  <c r="O29" i="1"/>
  <c r="O54" i="1"/>
  <c r="O26" i="1"/>
  <c r="O22" i="1"/>
  <c r="O16" i="1"/>
  <c r="O8" i="1"/>
  <c r="O79" i="1"/>
  <c r="O27" i="1"/>
  <c r="O24" i="1"/>
  <c r="O21" i="1"/>
  <c r="W84" i="1"/>
  <c r="W64" i="1"/>
  <c r="W63" i="1"/>
  <c r="W78" i="1"/>
  <c r="W61" i="1"/>
  <c r="W60" i="1"/>
  <c r="W59" i="1"/>
  <c r="W58" i="1"/>
  <c r="W57" i="1"/>
  <c r="W48" i="1"/>
  <c r="W47" i="1"/>
  <c r="W46" i="1"/>
  <c r="W45" i="1"/>
  <c r="W82" i="1"/>
  <c r="W80" i="1"/>
  <c r="W75" i="1"/>
  <c r="W70" i="1"/>
  <c r="W53" i="1"/>
  <c r="W49" i="1"/>
  <c r="W73" i="1"/>
  <c r="W52" i="1"/>
  <c r="W54" i="1"/>
  <c r="W50" i="1"/>
  <c r="W42" i="1"/>
  <c r="W32" i="1"/>
  <c r="W22" i="1"/>
  <c r="W44" i="1"/>
  <c r="W35" i="1"/>
  <c r="W25" i="1"/>
  <c r="W30" i="1"/>
  <c r="W66" i="1"/>
  <c r="W37" i="1"/>
  <c r="W34" i="1"/>
  <c r="W31" i="1"/>
  <c r="W20" i="1"/>
  <c r="W15" i="1"/>
  <c r="W27" i="1"/>
  <c r="W69" i="1"/>
  <c r="W36" i="1"/>
  <c r="W72" i="1"/>
  <c r="W55" i="1"/>
  <c r="W24" i="1"/>
  <c r="W21" i="1"/>
  <c r="W8" i="1"/>
  <c r="W51" i="1"/>
  <c r="W38" i="1"/>
  <c r="W26" i="1"/>
  <c r="W19" i="1"/>
  <c r="AE84" i="1"/>
  <c r="AE64" i="1"/>
  <c r="AE63" i="1"/>
  <c r="AE78" i="1"/>
  <c r="AE61" i="1"/>
  <c r="AE60" i="1"/>
  <c r="AE59" i="1"/>
  <c r="AE58" i="1"/>
  <c r="AE57" i="1"/>
  <c r="AE48" i="1"/>
  <c r="AE47" i="1"/>
  <c r="AE46" i="1"/>
  <c r="AE45" i="1"/>
  <c r="AE75" i="1"/>
  <c r="AE70" i="1"/>
  <c r="AE82" i="1"/>
  <c r="AE76" i="1"/>
  <c r="AE54" i="1"/>
  <c r="AE50" i="1"/>
  <c r="AE19" i="1"/>
  <c r="AE79" i="1"/>
  <c r="AE53" i="1"/>
  <c r="AE49" i="1"/>
  <c r="AE73" i="1"/>
  <c r="AE55" i="1"/>
  <c r="AE51" i="1"/>
  <c r="AE42" i="1"/>
  <c r="AE80" i="1"/>
  <c r="AE29" i="1"/>
  <c r="AE27" i="1"/>
  <c r="AE52" i="1"/>
  <c r="AE32" i="1"/>
  <c r="AE22" i="1"/>
  <c r="AE43" i="1"/>
  <c r="AE25" i="1"/>
  <c r="AE69" i="1"/>
  <c r="AE36" i="1"/>
  <c r="AE33" i="1"/>
  <c r="AE30" i="1"/>
  <c r="AE15" i="1"/>
  <c r="AE44" i="1"/>
  <c r="AE39" i="1"/>
  <c r="AE26" i="1"/>
  <c r="AE8" i="1"/>
  <c r="AE68" i="1"/>
  <c r="AE37" i="1"/>
  <c r="AE35" i="1"/>
  <c r="AE24" i="1"/>
  <c r="AE21" i="1"/>
  <c r="P82" i="1"/>
  <c r="P75" i="1"/>
  <c r="P80" i="1"/>
  <c r="P73" i="1"/>
  <c r="P78" i="1"/>
  <c r="P83" i="1"/>
  <c r="P61" i="1"/>
  <c r="P70" i="1"/>
  <c r="P65" i="1"/>
  <c r="P64" i="1"/>
  <c r="P63" i="1"/>
  <c r="P59" i="1"/>
  <c r="P84" i="1"/>
  <c r="P58" i="1"/>
  <c r="P55" i="1"/>
  <c r="P51" i="1"/>
  <c r="P47" i="1"/>
  <c r="P44" i="1"/>
  <c r="P60" i="1"/>
  <c r="P57" i="1"/>
  <c r="P46" i="1"/>
  <c r="P48" i="1"/>
  <c r="P45" i="1"/>
  <c r="P30" i="1"/>
  <c r="P50" i="1"/>
  <c r="P42" i="1"/>
  <c r="P33" i="1"/>
  <c r="P23" i="1"/>
  <c r="P19" i="1"/>
  <c r="P54" i="1"/>
  <c r="P26" i="1"/>
  <c r="P53" i="1"/>
  <c r="P39" i="1"/>
  <c r="P56" i="1"/>
  <c r="P49" i="1"/>
  <c r="P25" i="1"/>
  <c r="P22" i="1"/>
  <c r="P16" i="1"/>
  <c r="P8" i="1"/>
  <c r="P34" i="1"/>
  <c r="P38" i="1"/>
  <c r="P31" i="1"/>
  <c r="P20" i="1"/>
  <c r="P15" i="1"/>
  <c r="P14" i="1"/>
  <c r="P13" i="1"/>
  <c r="P12" i="1"/>
  <c r="P11" i="1"/>
  <c r="P10" i="1"/>
  <c r="X82" i="1"/>
  <c r="X75" i="1"/>
  <c r="X80" i="1"/>
  <c r="X73" i="1"/>
  <c r="X78" i="1"/>
  <c r="X58" i="1"/>
  <c r="X60" i="1"/>
  <c r="X64" i="1"/>
  <c r="X63" i="1"/>
  <c r="X52" i="1"/>
  <c r="X76" i="1"/>
  <c r="X57" i="1"/>
  <c r="X47" i="1"/>
  <c r="X44" i="1"/>
  <c r="X65" i="1"/>
  <c r="X59" i="1"/>
  <c r="X54" i="1"/>
  <c r="X35" i="1"/>
  <c r="X25" i="1"/>
  <c r="X84" i="1"/>
  <c r="X49" i="1"/>
  <c r="X30" i="1"/>
  <c r="X19" i="1"/>
  <c r="X53" i="1"/>
  <c r="X39" i="1"/>
  <c r="X38" i="1"/>
  <c r="X37" i="1"/>
  <c r="X33" i="1"/>
  <c r="X23" i="1"/>
  <c r="X70" i="1"/>
  <c r="X55" i="1"/>
  <c r="X48" i="1"/>
  <c r="X42" i="1"/>
  <c r="X27" i="1"/>
  <c r="X24" i="1"/>
  <c r="X21" i="1"/>
  <c r="X8" i="1"/>
  <c r="X83" i="1"/>
  <c r="X51" i="1"/>
  <c r="X50" i="1"/>
  <c r="X36" i="1"/>
  <c r="X16" i="1"/>
  <c r="X32" i="1"/>
  <c r="X29" i="1"/>
  <c r="X61" i="1"/>
  <c r="X46" i="1"/>
  <c r="X45" i="1"/>
  <c r="X14" i="1"/>
  <c r="X13" i="1"/>
  <c r="X12" i="1"/>
  <c r="X11" i="1"/>
  <c r="X10" i="1"/>
  <c r="AF82" i="1"/>
  <c r="AF75" i="1"/>
  <c r="AF80" i="1"/>
  <c r="AF73" i="1"/>
  <c r="AF78" i="1"/>
  <c r="AF84" i="1"/>
  <c r="AF64" i="1"/>
  <c r="AF63" i="1"/>
  <c r="AF70" i="1"/>
  <c r="AF83" i="1"/>
  <c r="AF61" i="1"/>
  <c r="AF57" i="1"/>
  <c r="AF58" i="1"/>
  <c r="AF46" i="1"/>
  <c r="AF53" i="1"/>
  <c r="AF49" i="1"/>
  <c r="AF59" i="1"/>
  <c r="AF44" i="1"/>
  <c r="AF48" i="1"/>
  <c r="AF52" i="1"/>
  <c r="AF32" i="1"/>
  <c r="AF22" i="1"/>
  <c r="AF42" i="1"/>
  <c r="AF25" i="1"/>
  <c r="AF76" i="1"/>
  <c r="AF65" i="1"/>
  <c r="AF51" i="1"/>
  <c r="AF45" i="1"/>
  <c r="AF35" i="1"/>
  <c r="AF30" i="1"/>
  <c r="AF20" i="1"/>
  <c r="AF33" i="1"/>
  <c r="AF15" i="1"/>
  <c r="AF60" i="1"/>
  <c r="AF39" i="1"/>
  <c r="AF26" i="1"/>
  <c r="AF8" i="1"/>
  <c r="AF38" i="1"/>
  <c r="AF31" i="1"/>
  <c r="AF23" i="1"/>
  <c r="AF34" i="1"/>
  <c r="AF54" i="1"/>
  <c r="AF14" i="1"/>
  <c r="AF13" i="1"/>
  <c r="AF12" i="1"/>
  <c r="AF11" i="1"/>
  <c r="AF10" i="1"/>
  <c r="J8" i="1"/>
  <c r="J10" i="1"/>
  <c r="W10" i="1"/>
  <c r="K11" i="1"/>
  <c r="Y11" i="1"/>
  <c r="Z12" i="1"/>
  <c r="O13" i="1"/>
  <c r="AA13" i="1"/>
  <c r="R15" i="1"/>
  <c r="L16" i="1"/>
  <c r="AE16" i="1"/>
  <c r="L18" i="1"/>
  <c r="AE20" i="1"/>
  <c r="R25" i="1"/>
  <c r="Z27" i="1"/>
  <c r="F29" i="1"/>
  <c r="E28" i="1"/>
  <c r="F28" i="1" s="1"/>
  <c r="K30" i="1"/>
  <c r="X31" i="1"/>
  <c r="O34" i="1"/>
  <c r="AB35" i="1"/>
  <c r="AF36" i="1"/>
  <c r="F43" i="1"/>
  <c r="E41" i="1"/>
  <c r="AF41" i="1" s="1"/>
  <c r="AA58" i="1"/>
  <c r="W43" i="1"/>
  <c r="P52" i="1"/>
  <c r="W81" i="1"/>
  <c r="Z10" i="1"/>
  <c r="J55" i="1"/>
  <c r="Z63" i="1"/>
  <c r="Q82" i="1"/>
  <c r="Q64" i="1"/>
  <c r="Q63" i="1"/>
  <c r="Q84" i="1"/>
  <c r="Q83" i="1"/>
  <c r="Q70" i="1"/>
  <c r="Q80" i="1"/>
  <c r="Q65" i="1"/>
  <c r="Q78" i="1"/>
  <c r="Q75" i="1"/>
  <c r="Q73" i="1"/>
  <c r="Q58" i="1"/>
  <c r="Q71" i="1"/>
  <c r="Q55" i="1"/>
  <c r="Q51" i="1"/>
  <c r="Q47" i="1"/>
  <c r="Q44" i="1"/>
  <c r="Q74" i="1"/>
  <c r="Q59" i="1"/>
  <c r="Q54" i="1"/>
  <c r="Q50" i="1"/>
  <c r="Q45" i="1"/>
  <c r="Q39" i="1"/>
  <c r="Q38" i="1"/>
  <c r="Q37" i="1"/>
  <c r="Q52" i="1"/>
  <c r="Q60" i="1"/>
  <c r="Q42" i="1"/>
  <c r="Q36" i="1"/>
  <c r="Q33" i="1"/>
  <c r="Q23" i="1"/>
  <c r="Q61" i="1"/>
  <c r="Q26" i="1"/>
  <c r="Q31" i="1"/>
  <c r="Q21" i="1"/>
  <c r="Q85" i="1"/>
  <c r="Q79" i="1"/>
  <c r="Q77" i="1"/>
  <c r="Q68" i="1"/>
  <c r="Q49" i="1"/>
  <c r="Q25" i="1"/>
  <c r="Q22" i="1"/>
  <c r="Q16" i="1"/>
  <c r="Q46" i="1"/>
  <c r="Q34" i="1"/>
  <c r="Q30" i="1"/>
  <c r="Q48" i="1"/>
  <c r="Q35" i="1"/>
  <c r="Q32" i="1"/>
  <c r="Q29" i="1"/>
  <c r="Y82" i="1"/>
  <c r="Y64" i="1"/>
  <c r="Y63" i="1"/>
  <c r="Y84" i="1"/>
  <c r="Y83" i="1"/>
  <c r="Y70" i="1"/>
  <c r="Y85" i="1"/>
  <c r="Y61" i="1"/>
  <c r="Y77" i="1"/>
  <c r="Y74" i="1"/>
  <c r="Y59" i="1"/>
  <c r="Y73" i="1"/>
  <c r="Y52" i="1"/>
  <c r="Y60" i="1"/>
  <c r="Y57" i="1"/>
  <c r="Y47" i="1"/>
  <c r="Y44" i="1"/>
  <c r="Y75" i="1"/>
  <c r="Y55" i="1"/>
  <c r="Y51" i="1"/>
  <c r="Y39" i="1"/>
  <c r="Y38" i="1"/>
  <c r="Y37" i="1"/>
  <c r="Y53" i="1"/>
  <c r="Y49" i="1"/>
  <c r="Y46" i="1"/>
  <c r="Y71" i="1"/>
  <c r="Y30" i="1"/>
  <c r="Y20" i="1"/>
  <c r="Y33" i="1"/>
  <c r="Y23" i="1"/>
  <c r="Y80" i="1"/>
  <c r="Y78" i="1"/>
  <c r="Y36" i="1"/>
  <c r="Y26" i="1"/>
  <c r="Y54" i="1"/>
  <c r="Y48" i="1"/>
  <c r="Y42" i="1"/>
  <c r="Y27" i="1"/>
  <c r="Y24" i="1"/>
  <c r="Y21" i="1"/>
  <c r="Y65" i="1"/>
  <c r="Y50" i="1"/>
  <c r="Y16" i="1"/>
  <c r="Y35" i="1"/>
  <c r="Y32" i="1"/>
  <c r="Y29" i="1"/>
  <c r="Y34" i="1"/>
  <c r="Y31" i="1"/>
  <c r="Y15" i="1"/>
  <c r="Y10" i="1"/>
  <c r="Y19" i="1"/>
  <c r="Q12" i="1"/>
  <c r="R13" i="1"/>
  <c r="R16" i="1"/>
  <c r="Q20" i="1"/>
  <c r="R22" i="1"/>
  <c r="D17" i="1"/>
  <c r="AA10" i="1"/>
  <c r="R12" i="1"/>
  <c r="Z25" i="1"/>
  <c r="R11" i="1"/>
  <c r="W14" i="1"/>
  <c r="Y22" i="1"/>
  <c r="P32" i="1"/>
  <c r="Z48" i="1"/>
  <c r="Q57" i="1"/>
  <c r="R60" i="1"/>
  <c r="Y8" i="1"/>
  <c r="Q13" i="1"/>
  <c r="Y9" i="1"/>
  <c r="Z19" i="1"/>
  <c r="R23" i="1"/>
  <c r="Z34" i="1"/>
  <c r="K82" i="1"/>
  <c r="K75" i="1"/>
  <c r="K84" i="1"/>
  <c r="K77" i="1"/>
  <c r="K57" i="1"/>
  <c r="K83" i="1"/>
  <c r="K71" i="1"/>
  <c r="K59" i="1"/>
  <c r="K60" i="1"/>
  <c r="K53" i="1"/>
  <c r="K49" i="1"/>
  <c r="K48" i="1"/>
  <c r="K39" i="1"/>
  <c r="K38" i="1"/>
  <c r="K37" i="1"/>
  <c r="K85" i="1"/>
  <c r="K70" i="1"/>
  <c r="K65" i="1"/>
  <c r="K61" i="1"/>
  <c r="K52" i="1"/>
  <c r="K46" i="1"/>
  <c r="K42" i="1"/>
  <c r="K79" i="1"/>
  <c r="K78" i="1"/>
  <c r="K54" i="1"/>
  <c r="K50" i="1"/>
  <c r="K44" i="1"/>
  <c r="K34" i="1"/>
  <c r="K24" i="1"/>
  <c r="K51" i="1"/>
  <c r="K29" i="1"/>
  <c r="K27" i="1"/>
  <c r="K73" i="1"/>
  <c r="K64" i="1"/>
  <c r="K55" i="1"/>
  <c r="K32" i="1"/>
  <c r="K22" i="1"/>
  <c r="K58" i="1"/>
  <c r="K35" i="1"/>
  <c r="K63" i="1"/>
  <c r="K45" i="1"/>
  <c r="K21" i="1"/>
  <c r="K20" i="1"/>
  <c r="K19" i="1"/>
  <c r="K43" i="1"/>
  <c r="K25" i="1"/>
  <c r="K80" i="1"/>
  <c r="K23" i="1"/>
  <c r="K18" i="1"/>
  <c r="K8" i="1"/>
  <c r="S80" i="1"/>
  <c r="S82" i="1"/>
  <c r="S75" i="1"/>
  <c r="S78" i="1"/>
  <c r="S70" i="1"/>
  <c r="S64" i="1"/>
  <c r="S63" i="1"/>
  <c r="S73" i="1"/>
  <c r="S85" i="1"/>
  <c r="S71" i="1"/>
  <c r="S60" i="1"/>
  <c r="S65" i="1"/>
  <c r="S54" i="1"/>
  <c r="S50" i="1"/>
  <c r="S45" i="1"/>
  <c r="S39" i="1"/>
  <c r="S38" i="1"/>
  <c r="S37" i="1"/>
  <c r="S59" i="1"/>
  <c r="S48" i="1"/>
  <c r="S77" i="1"/>
  <c r="S53" i="1"/>
  <c r="S49" i="1"/>
  <c r="S42" i="1"/>
  <c r="S84" i="1"/>
  <c r="S61" i="1"/>
  <c r="S55" i="1"/>
  <c r="S51" i="1"/>
  <c r="S47" i="1"/>
  <c r="S31" i="1"/>
  <c r="S21" i="1"/>
  <c r="S43" i="1"/>
  <c r="S34" i="1"/>
  <c r="S24" i="1"/>
  <c r="S29" i="1"/>
  <c r="S27" i="1"/>
  <c r="S83" i="1"/>
  <c r="S33" i="1"/>
  <c r="S30" i="1"/>
  <c r="S26" i="1"/>
  <c r="S57" i="1"/>
  <c r="S23" i="1"/>
  <c r="S19" i="1"/>
  <c r="S25" i="1"/>
  <c r="S22" i="1"/>
  <c r="S16" i="1"/>
  <c r="S8" i="1"/>
  <c r="AA80" i="1"/>
  <c r="AA82" i="1"/>
  <c r="AA75" i="1"/>
  <c r="AA77" i="1"/>
  <c r="AA59" i="1"/>
  <c r="AA84" i="1"/>
  <c r="AA65" i="1"/>
  <c r="AA57" i="1"/>
  <c r="AA71" i="1"/>
  <c r="AA61" i="1"/>
  <c r="AA73" i="1"/>
  <c r="AA55" i="1"/>
  <c r="AA51" i="1"/>
  <c r="AA39" i="1"/>
  <c r="AA38" i="1"/>
  <c r="AA37" i="1"/>
  <c r="AA45" i="1"/>
  <c r="AA83" i="1"/>
  <c r="AA79" i="1"/>
  <c r="AA78" i="1"/>
  <c r="AA54" i="1"/>
  <c r="AA50" i="1"/>
  <c r="AA48" i="1"/>
  <c r="AA42" i="1"/>
  <c r="AA85" i="1"/>
  <c r="AA70" i="1"/>
  <c r="AA64" i="1"/>
  <c r="AA63" i="1"/>
  <c r="AA52" i="1"/>
  <c r="AA53" i="1"/>
  <c r="AA44" i="1"/>
  <c r="AA26" i="1"/>
  <c r="AA46" i="1"/>
  <c r="AA31" i="1"/>
  <c r="AA21" i="1"/>
  <c r="AA34" i="1"/>
  <c r="AA24" i="1"/>
  <c r="AA47" i="1"/>
  <c r="AA35" i="1"/>
  <c r="AA32" i="1"/>
  <c r="AA29" i="1"/>
  <c r="AA60" i="1"/>
  <c r="AA25" i="1"/>
  <c r="AA22" i="1"/>
  <c r="AA43" i="1"/>
  <c r="AA27" i="1"/>
  <c r="AA23" i="1"/>
  <c r="AA20" i="1"/>
  <c r="AA8" i="1"/>
  <c r="O10" i="1"/>
  <c r="Q11" i="1"/>
  <c r="S13" i="1"/>
  <c r="J15" i="1"/>
  <c r="R20" i="1"/>
  <c r="P37" i="1"/>
  <c r="Q8" i="1"/>
  <c r="AE11" i="1"/>
  <c r="K15" i="1"/>
  <c r="Q9" i="1"/>
  <c r="R10" i="1"/>
  <c r="AE10" i="1"/>
  <c r="S11" i="1"/>
  <c r="J13" i="1"/>
  <c r="W13" i="1"/>
  <c r="K14" i="1"/>
  <c r="Y14" i="1"/>
  <c r="W16" i="1"/>
  <c r="O19" i="1"/>
  <c r="Z20" i="1"/>
  <c r="AF24" i="1"/>
  <c r="K26" i="1"/>
  <c r="AF29" i="1"/>
  <c r="AA33" i="1"/>
  <c r="P35" i="1"/>
  <c r="AF37" i="1"/>
  <c r="W39" i="1"/>
  <c r="AF50" i="1"/>
  <c r="AF55" i="1"/>
  <c r="AE65" i="1"/>
  <c r="Y56" i="1"/>
  <c r="J80" i="1"/>
  <c r="J73" i="1"/>
  <c r="J85" i="1"/>
  <c r="J78" i="1"/>
  <c r="J84" i="1"/>
  <c r="J70" i="1"/>
  <c r="J65" i="1"/>
  <c r="J60" i="1"/>
  <c r="J82" i="1"/>
  <c r="J64" i="1"/>
  <c r="J63" i="1"/>
  <c r="J45" i="1"/>
  <c r="J44" i="1"/>
  <c r="J68" i="1"/>
  <c r="J66" i="1"/>
  <c r="J57" i="1"/>
  <c r="J53" i="1"/>
  <c r="J49" i="1"/>
  <c r="J48" i="1"/>
  <c r="J39" i="1"/>
  <c r="J38" i="1"/>
  <c r="J37" i="1"/>
  <c r="J59" i="1"/>
  <c r="J47" i="1"/>
  <c r="J58" i="1"/>
  <c r="J52" i="1"/>
  <c r="J46" i="1"/>
  <c r="J31" i="1"/>
  <c r="J21" i="1"/>
  <c r="J34" i="1"/>
  <c r="J24" i="1"/>
  <c r="J75" i="1"/>
  <c r="J61" i="1"/>
  <c r="J51" i="1"/>
  <c r="J29" i="1"/>
  <c r="J27" i="1"/>
  <c r="J35" i="1"/>
  <c r="J32" i="1"/>
  <c r="J20" i="1"/>
  <c r="J19" i="1"/>
  <c r="J54" i="1"/>
  <c r="J26" i="1"/>
  <c r="J16" i="1"/>
  <c r="R80" i="1"/>
  <c r="R73" i="1"/>
  <c r="R85" i="1"/>
  <c r="R78" i="1"/>
  <c r="R84" i="1"/>
  <c r="R70" i="1"/>
  <c r="R65" i="1"/>
  <c r="R75" i="1"/>
  <c r="R59" i="1"/>
  <c r="R64" i="1"/>
  <c r="R63" i="1"/>
  <c r="R57" i="1"/>
  <c r="R61" i="1"/>
  <c r="R58" i="1"/>
  <c r="R44" i="1"/>
  <c r="R82" i="1"/>
  <c r="R74" i="1"/>
  <c r="R54" i="1"/>
  <c r="R50" i="1"/>
  <c r="R45" i="1"/>
  <c r="R39" i="1"/>
  <c r="R38" i="1"/>
  <c r="R37" i="1"/>
  <c r="R48" i="1"/>
  <c r="R68" i="1"/>
  <c r="R55" i="1"/>
  <c r="R26" i="1"/>
  <c r="R31" i="1"/>
  <c r="R21" i="1"/>
  <c r="R49" i="1"/>
  <c r="R34" i="1"/>
  <c r="R24" i="1"/>
  <c r="R81" i="1"/>
  <c r="R56" i="1"/>
  <c r="R46" i="1"/>
  <c r="R47" i="1"/>
  <c r="R33" i="1"/>
  <c r="R30" i="1"/>
  <c r="R42" i="1"/>
  <c r="R27" i="1"/>
  <c r="R66" i="1"/>
  <c r="R53" i="1"/>
  <c r="R52" i="1"/>
  <c r="Z80" i="1"/>
  <c r="Z73" i="1"/>
  <c r="Z85" i="1"/>
  <c r="Z78" i="1"/>
  <c r="Z84" i="1"/>
  <c r="Z70" i="1"/>
  <c r="Z65" i="1"/>
  <c r="Z82" i="1"/>
  <c r="Z66" i="1"/>
  <c r="Z58" i="1"/>
  <c r="Z60" i="1"/>
  <c r="Z57" i="1"/>
  <c r="Z47" i="1"/>
  <c r="Z44" i="1"/>
  <c r="Z75" i="1"/>
  <c r="Z55" i="1"/>
  <c r="Z51" i="1"/>
  <c r="Z39" i="1"/>
  <c r="Z38" i="1"/>
  <c r="Z37" i="1"/>
  <c r="Z61" i="1"/>
  <c r="Z45" i="1"/>
  <c r="Z64" i="1"/>
  <c r="Z49" i="1"/>
  <c r="Z33" i="1"/>
  <c r="Z23" i="1"/>
  <c r="Z53" i="1"/>
  <c r="Z26" i="1"/>
  <c r="Z46" i="1"/>
  <c r="Z31" i="1"/>
  <c r="Z21" i="1"/>
  <c r="Z59" i="1"/>
  <c r="Z50" i="1"/>
  <c r="Z16" i="1"/>
  <c r="Z35" i="1"/>
  <c r="Z32" i="1"/>
  <c r="Z29" i="1"/>
  <c r="Z52" i="1"/>
  <c r="Q24" i="1"/>
  <c r="Y25" i="1"/>
  <c r="Z30" i="1"/>
  <c r="Z9" i="1"/>
  <c r="AE12" i="1"/>
  <c r="Z15" i="1"/>
  <c r="P21" i="1"/>
  <c r="X22" i="1"/>
  <c r="W23" i="1"/>
  <c r="R29" i="1"/>
  <c r="AA30" i="1"/>
  <c r="AE34" i="1"/>
  <c r="Y45" i="1"/>
  <c r="J50" i="1"/>
  <c r="S52" i="1"/>
  <c r="AE66" i="1"/>
  <c r="L78" i="1"/>
  <c r="L84" i="1"/>
  <c r="L83" i="1"/>
  <c r="L70" i="1"/>
  <c r="L82" i="1"/>
  <c r="L75" i="1"/>
  <c r="L64" i="1"/>
  <c r="L63" i="1"/>
  <c r="L60" i="1"/>
  <c r="L55" i="1"/>
  <c r="L54" i="1"/>
  <c r="L53" i="1"/>
  <c r="L52" i="1"/>
  <c r="L51" i="1"/>
  <c r="L50" i="1"/>
  <c r="L80" i="1"/>
  <c r="L58" i="1"/>
  <c r="L66" i="1"/>
  <c r="L57" i="1"/>
  <c r="L27" i="1"/>
  <c r="L26" i="1"/>
  <c r="L25" i="1"/>
  <c r="L24" i="1"/>
  <c r="L23" i="1"/>
  <c r="L22" i="1"/>
  <c r="L21" i="1"/>
  <c r="L65" i="1"/>
  <c r="L61" i="1"/>
  <c r="L46" i="1"/>
  <c r="L42" i="1"/>
  <c r="L45" i="1"/>
  <c r="L44" i="1"/>
  <c r="L29" i="1"/>
  <c r="L73" i="1"/>
  <c r="L59" i="1"/>
  <c r="L48" i="1"/>
  <c r="L35" i="1"/>
  <c r="L19" i="1"/>
  <c r="L39" i="1"/>
  <c r="L36" i="1"/>
  <c r="L56" i="1"/>
  <c r="L47" i="1"/>
  <c r="L15" i="1"/>
  <c r="L14" i="1"/>
  <c r="L13" i="1"/>
  <c r="L12" i="1"/>
  <c r="L11" i="1"/>
  <c r="L10" i="1"/>
  <c r="L38" i="1"/>
  <c r="L33" i="1"/>
  <c r="L30" i="1"/>
  <c r="L34" i="1"/>
  <c r="L31" i="1"/>
  <c r="T78" i="1"/>
  <c r="T84" i="1"/>
  <c r="T83" i="1"/>
  <c r="T70" i="1"/>
  <c r="T82" i="1"/>
  <c r="T75" i="1"/>
  <c r="T64" i="1"/>
  <c r="T63" i="1"/>
  <c r="T73" i="1"/>
  <c r="T57" i="1"/>
  <c r="T55" i="1"/>
  <c r="T54" i="1"/>
  <c r="T53" i="1"/>
  <c r="T52" i="1"/>
  <c r="T51" i="1"/>
  <c r="T50" i="1"/>
  <c r="T65" i="1"/>
  <c r="T59" i="1"/>
  <c r="T48" i="1"/>
  <c r="T27" i="1"/>
  <c r="T26" i="1"/>
  <c r="T25" i="1"/>
  <c r="T24" i="1"/>
  <c r="T23" i="1"/>
  <c r="T22" i="1"/>
  <c r="T21" i="1"/>
  <c r="T42" i="1"/>
  <c r="T46" i="1"/>
  <c r="T80" i="1"/>
  <c r="T58" i="1"/>
  <c r="T44" i="1"/>
  <c r="T61" i="1"/>
  <c r="T34" i="1"/>
  <c r="T29" i="1"/>
  <c r="T47" i="1"/>
  <c r="T32" i="1"/>
  <c r="T45" i="1"/>
  <c r="T38" i="1"/>
  <c r="T19" i="1"/>
  <c r="T60" i="1"/>
  <c r="T35" i="1"/>
  <c r="T31" i="1"/>
  <c r="T15" i="1"/>
  <c r="T14" i="1"/>
  <c r="T13" i="1"/>
  <c r="T12" i="1"/>
  <c r="T11" i="1"/>
  <c r="T10" i="1"/>
  <c r="T37" i="1"/>
  <c r="T36" i="1"/>
  <c r="T18" i="1"/>
  <c r="AB78" i="1"/>
  <c r="AB84" i="1"/>
  <c r="AB83" i="1"/>
  <c r="AB70" i="1"/>
  <c r="AB82" i="1"/>
  <c r="AB75" i="1"/>
  <c r="AB64" i="1"/>
  <c r="AB63" i="1"/>
  <c r="AB55" i="1"/>
  <c r="AB54" i="1"/>
  <c r="AB53" i="1"/>
  <c r="AB52" i="1"/>
  <c r="AB51" i="1"/>
  <c r="AB50" i="1"/>
  <c r="AB66" i="1"/>
  <c r="AB65" i="1"/>
  <c r="AB60" i="1"/>
  <c r="AB45" i="1"/>
  <c r="AB27" i="1"/>
  <c r="AB26" i="1"/>
  <c r="AB25" i="1"/>
  <c r="AB24" i="1"/>
  <c r="AB23" i="1"/>
  <c r="AB22" i="1"/>
  <c r="AB21" i="1"/>
  <c r="AB61" i="1"/>
  <c r="AB48" i="1"/>
  <c r="AB42" i="1"/>
  <c r="AB58" i="1"/>
  <c r="AB47" i="1"/>
  <c r="AB44" i="1"/>
  <c r="AB73" i="1"/>
  <c r="AB46" i="1"/>
  <c r="AB31" i="1"/>
  <c r="AB80" i="1"/>
  <c r="AB39" i="1"/>
  <c r="AB38" i="1"/>
  <c r="AB37" i="1"/>
  <c r="AB34" i="1"/>
  <c r="AB57" i="1"/>
  <c r="AB29" i="1"/>
  <c r="AB10" i="1"/>
  <c r="AB19" i="1"/>
  <c r="AB14" i="1"/>
  <c r="AB13" i="1"/>
  <c r="AB12" i="1"/>
  <c r="AB11" i="1"/>
  <c r="AB33" i="1"/>
  <c r="AB30" i="1"/>
  <c r="AB16" i="1"/>
  <c r="O9" i="1"/>
  <c r="AA9" i="1"/>
  <c r="Q10" i="1"/>
  <c r="S12" i="1"/>
  <c r="J14" i="1"/>
  <c r="AA15" i="1"/>
  <c r="AF19" i="1"/>
  <c r="S20" i="1"/>
  <c r="Z24" i="1"/>
  <c r="W29" i="1"/>
  <c r="W33" i="1"/>
  <c r="R8" i="1"/>
  <c r="T8" i="1"/>
  <c r="AC9" i="1"/>
  <c r="U9" i="1"/>
  <c r="M9" i="1"/>
  <c r="AB9" i="1"/>
  <c r="T9" i="1"/>
  <c r="L9" i="1"/>
  <c r="AF9" i="1"/>
  <c r="X9" i="1"/>
  <c r="P9" i="1"/>
  <c r="R9" i="1"/>
  <c r="AE9" i="1"/>
  <c r="S10" i="1"/>
  <c r="J12" i="1"/>
  <c r="W12" i="1"/>
  <c r="K13" i="1"/>
  <c r="Y13" i="1"/>
  <c r="Z14" i="1"/>
  <c r="O15" i="1"/>
  <c r="AA16" i="1"/>
  <c r="W18" i="1"/>
  <c r="Q19" i="1"/>
  <c r="F18" i="1"/>
  <c r="AC18" i="1"/>
  <c r="AC20" i="1"/>
  <c r="AE23" i="1"/>
  <c r="P27" i="1"/>
  <c r="S32" i="1"/>
  <c r="R35" i="1"/>
  <c r="Z42" i="1"/>
  <c r="S44" i="1"/>
  <c r="S46" i="1"/>
  <c r="Q53" i="1"/>
  <c r="S58" i="1"/>
  <c r="S79" i="1"/>
  <c r="F9" i="1"/>
  <c r="S9" i="1"/>
  <c r="J11" i="1"/>
  <c r="W11" i="1"/>
  <c r="K12" i="1"/>
  <c r="Y12" i="1"/>
  <c r="Z13" i="1"/>
  <c r="O14" i="1"/>
  <c r="AA14" i="1"/>
  <c r="Q15" i="1"/>
  <c r="K16" i="1"/>
  <c r="J18" i="1"/>
  <c r="AB18" i="1"/>
  <c r="R19" i="1"/>
  <c r="F20" i="1"/>
  <c r="AD20" i="1"/>
  <c r="AF21" i="1"/>
  <c r="J23" i="1"/>
  <c r="J25" i="1"/>
  <c r="Q27" i="1"/>
  <c r="AD29" i="1"/>
  <c r="J30" i="1"/>
  <c r="O31" i="1"/>
  <c r="AB32" i="1"/>
  <c r="S35" i="1"/>
  <c r="R51" i="1"/>
  <c r="Y58" i="1"/>
  <c r="Z68" i="1"/>
  <c r="P76" i="1"/>
  <c r="U30" i="1"/>
  <c r="U33" i="1"/>
  <c r="U39" i="1"/>
  <c r="U44" i="1"/>
  <c r="AD47" i="1"/>
  <c r="AC49" i="1"/>
  <c r="V58" i="1"/>
  <c r="M74" i="1"/>
  <c r="AC15" i="1"/>
  <c r="AF18" i="1"/>
  <c r="X18" i="1"/>
  <c r="P18" i="1"/>
  <c r="O18" i="1"/>
  <c r="Y18" i="1"/>
  <c r="U20" i="1"/>
  <c r="AC30" i="1"/>
  <c r="M33" i="1"/>
  <c r="U37" i="1"/>
  <c r="V42" i="1"/>
  <c r="M43" i="1"/>
  <c r="M44" i="1"/>
  <c r="N46" i="1"/>
  <c r="M47" i="1"/>
  <c r="U48" i="1"/>
  <c r="M49" i="1"/>
  <c r="M54" i="1"/>
  <c r="N56" i="1"/>
  <c r="U68" i="1"/>
  <c r="S76" i="1"/>
  <c r="M85" i="1"/>
  <c r="M65" i="1"/>
  <c r="M80" i="1"/>
  <c r="M73" i="1"/>
  <c r="M83" i="1"/>
  <c r="M61" i="1"/>
  <c r="M57" i="1"/>
  <c r="M81" i="1"/>
  <c r="M46" i="1"/>
  <c r="M42" i="1"/>
  <c r="M70" i="1"/>
  <c r="M52" i="1"/>
  <c r="M71" i="1"/>
  <c r="M58" i="1"/>
  <c r="M48" i="1"/>
  <c r="M59" i="1"/>
  <c r="M51" i="1"/>
  <c r="M32" i="1"/>
  <c r="M27" i="1"/>
  <c r="M75" i="1"/>
  <c r="M64" i="1"/>
  <c r="M60" i="1"/>
  <c r="M55" i="1"/>
  <c r="M35" i="1"/>
  <c r="M22" i="1"/>
  <c r="M82" i="1"/>
  <c r="M45" i="1"/>
  <c r="M39" i="1"/>
  <c r="M38" i="1"/>
  <c r="M37" i="1"/>
  <c r="M30" i="1"/>
  <c r="M25" i="1"/>
  <c r="U85" i="1"/>
  <c r="U65" i="1"/>
  <c r="U80" i="1"/>
  <c r="U73" i="1"/>
  <c r="U60" i="1"/>
  <c r="U71" i="1"/>
  <c r="U82" i="1"/>
  <c r="U58" i="1"/>
  <c r="U83" i="1"/>
  <c r="U74" i="1"/>
  <c r="U70" i="1"/>
  <c r="U59" i="1"/>
  <c r="U42" i="1"/>
  <c r="U77" i="1"/>
  <c r="U64" i="1"/>
  <c r="U63" i="1"/>
  <c r="U53" i="1"/>
  <c r="U49" i="1"/>
  <c r="U46" i="1"/>
  <c r="U81" i="1"/>
  <c r="U45" i="1"/>
  <c r="U75" i="1"/>
  <c r="U50" i="1"/>
  <c r="U29" i="1"/>
  <c r="U24" i="1"/>
  <c r="U54" i="1"/>
  <c r="U47" i="1"/>
  <c r="U32" i="1"/>
  <c r="U27" i="1"/>
  <c r="U84" i="1"/>
  <c r="U35" i="1"/>
  <c r="U22" i="1"/>
  <c r="AC85" i="1"/>
  <c r="AC65" i="1"/>
  <c r="AC80" i="1"/>
  <c r="AC73" i="1"/>
  <c r="AC57" i="1"/>
  <c r="AC84" i="1"/>
  <c r="AC81" i="1"/>
  <c r="AC64" i="1"/>
  <c r="AC63" i="1"/>
  <c r="AC59" i="1"/>
  <c r="AC82" i="1"/>
  <c r="AC77" i="1"/>
  <c r="AC75" i="1"/>
  <c r="AC61" i="1"/>
  <c r="AC48" i="1"/>
  <c r="AC42" i="1"/>
  <c r="AC83" i="1"/>
  <c r="AC78" i="1"/>
  <c r="AC76" i="1"/>
  <c r="AC58" i="1"/>
  <c r="AC54" i="1"/>
  <c r="AC50" i="1"/>
  <c r="AC35" i="1"/>
  <c r="AC46" i="1"/>
  <c r="AC71" i="1"/>
  <c r="AC60" i="1"/>
  <c r="AC39" i="1"/>
  <c r="AC38" i="1"/>
  <c r="AC37" i="1"/>
  <c r="AC36" i="1"/>
  <c r="AC34" i="1"/>
  <c r="AC21" i="1"/>
  <c r="AC29" i="1"/>
  <c r="AC24" i="1"/>
  <c r="AC52" i="1"/>
  <c r="AC32" i="1"/>
  <c r="AC27" i="1"/>
  <c r="N84" i="1"/>
  <c r="N70" i="1"/>
  <c r="N82" i="1"/>
  <c r="N75" i="1"/>
  <c r="N80" i="1"/>
  <c r="N73" i="1"/>
  <c r="N58" i="1"/>
  <c r="N78" i="1"/>
  <c r="N66" i="1"/>
  <c r="N65" i="1"/>
  <c r="N77" i="1"/>
  <c r="N60" i="1"/>
  <c r="N55" i="1"/>
  <c r="N54" i="1"/>
  <c r="N53" i="1"/>
  <c r="N52" i="1"/>
  <c r="N51" i="1"/>
  <c r="N50" i="1"/>
  <c r="N85" i="1"/>
  <c r="N61" i="1"/>
  <c r="N35" i="1"/>
  <c r="N34" i="1"/>
  <c r="N33" i="1"/>
  <c r="N32" i="1"/>
  <c r="N31" i="1"/>
  <c r="N30" i="1"/>
  <c r="N71" i="1"/>
  <c r="N64" i="1"/>
  <c r="N63" i="1"/>
  <c r="N47" i="1"/>
  <c r="N22" i="1"/>
  <c r="N48" i="1"/>
  <c r="N45" i="1"/>
  <c r="N39" i="1"/>
  <c r="N38" i="1"/>
  <c r="N37" i="1"/>
  <c r="N25" i="1"/>
  <c r="N16" i="1"/>
  <c r="N42" i="1"/>
  <c r="V84" i="1"/>
  <c r="V70" i="1"/>
  <c r="V82" i="1"/>
  <c r="V75" i="1"/>
  <c r="V80" i="1"/>
  <c r="V73" i="1"/>
  <c r="V71" i="1"/>
  <c r="V85" i="1"/>
  <c r="V77" i="1"/>
  <c r="V61" i="1"/>
  <c r="V78" i="1"/>
  <c r="V64" i="1"/>
  <c r="V63" i="1"/>
  <c r="V57" i="1"/>
  <c r="V55" i="1"/>
  <c r="V54" i="1"/>
  <c r="V53" i="1"/>
  <c r="V52" i="1"/>
  <c r="V51" i="1"/>
  <c r="V50" i="1"/>
  <c r="V46" i="1"/>
  <c r="V35" i="1"/>
  <c r="V34" i="1"/>
  <c r="V33" i="1"/>
  <c r="V32" i="1"/>
  <c r="V31" i="1"/>
  <c r="V30" i="1"/>
  <c r="V60" i="1"/>
  <c r="V66" i="1"/>
  <c r="V48" i="1"/>
  <c r="V47" i="1"/>
  <c r="V27" i="1"/>
  <c r="V22" i="1"/>
  <c r="V16" i="1"/>
  <c r="V15" i="1"/>
  <c r="V44" i="1"/>
  <c r="V25" i="1"/>
  <c r="AD84" i="1"/>
  <c r="AD70" i="1"/>
  <c r="AD82" i="1"/>
  <c r="AD75" i="1"/>
  <c r="AD80" i="1"/>
  <c r="AD73" i="1"/>
  <c r="AD65" i="1"/>
  <c r="AD60" i="1"/>
  <c r="AD64" i="1"/>
  <c r="AD63" i="1"/>
  <c r="AD78" i="1"/>
  <c r="AD58" i="1"/>
  <c r="AD85" i="1"/>
  <c r="AD77" i="1"/>
  <c r="AD55" i="1"/>
  <c r="AD54" i="1"/>
  <c r="AD53" i="1"/>
  <c r="AD52" i="1"/>
  <c r="AD51" i="1"/>
  <c r="AD50" i="1"/>
  <c r="AD35" i="1"/>
  <c r="AD34" i="1"/>
  <c r="AD33" i="1"/>
  <c r="AD32" i="1"/>
  <c r="AD31" i="1"/>
  <c r="AD30" i="1"/>
  <c r="AD46" i="1"/>
  <c r="AD57" i="1"/>
  <c r="AD45" i="1"/>
  <c r="AD24" i="1"/>
  <c r="AD27" i="1"/>
  <c r="AD16" i="1"/>
  <c r="AD15" i="1"/>
  <c r="AD48" i="1"/>
  <c r="AD42" i="1"/>
  <c r="AD22" i="1"/>
  <c r="M10" i="1"/>
  <c r="U10" i="1"/>
  <c r="AC10" i="1"/>
  <c r="M11" i="1"/>
  <c r="U11" i="1"/>
  <c r="AC11" i="1"/>
  <c r="M12" i="1"/>
  <c r="U12" i="1"/>
  <c r="AC12" i="1"/>
  <c r="M13" i="1"/>
  <c r="U13" i="1"/>
  <c r="AC13" i="1"/>
  <c r="M14" i="1"/>
  <c r="U14" i="1"/>
  <c r="AC14" i="1"/>
  <c r="M15" i="1"/>
  <c r="U15" i="1"/>
  <c r="Q18" i="1"/>
  <c r="Z18" i="1"/>
  <c r="AC19" i="1"/>
  <c r="V20" i="1"/>
  <c r="AC22" i="1"/>
  <c r="U23" i="1"/>
  <c r="AC25" i="1"/>
  <c r="M29" i="1"/>
  <c r="U31" i="1"/>
  <c r="U34" i="1"/>
  <c r="AD36" i="1"/>
  <c r="V37" i="1"/>
  <c r="N43" i="1"/>
  <c r="N44" i="1"/>
  <c r="AC51" i="1"/>
  <c r="M53" i="1"/>
  <c r="V59" i="1"/>
  <c r="M76" i="1"/>
  <c r="U78" i="1"/>
  <c r="R18" i="1"/>
  <c r="AA18" i="1"/>
  <c r="U19" i="1"/>
  <c r="AD19" i="1"/>
  <c r="M20" i="1"/>
  <c r="M21" i="1"/>
  <c r="V23" i="1"/>
  <c r="M24" i="1"/>
  <c r="AD25" i="1"/>
  <c r="U26" i="1"/>
  <c r="M36" i="1"/>
  <c r="U38" i="1"/>
  <c r="V43" i="1"/>
  <c r="AC55" i="1"/>
  <c r="M63" i="1"/>
  <c r="AC70" i="1"/>
  <c r="AE74" i="1"/>
  <c r="M84" i="1"/>
  <c r="Z72" i="1"/>
  <c r="R72" i="1"/>
  <c r="J72" i="1"/>
  <c r="AF72" i="1"/>
  <c r="X72" i="1"/>
  <c r="P72" i="1"/>
  <c r="E72" i="1"/>
  <c r="AD72" i="1"/>
  <c r="V72" i="1"/>
  <c r="N72" i="1"/>
  <c r="AC72" i="1"/>
  <c r="U72" i="1"/>
  <c r="M72" i="1"/>
  <c r="AB72" i="1"/>
  <c r="L72" i="1"/>
  <c r="AA72" i="1"/>
  <c r="K72" i="1"/>
  <c r="Y72" i="1"/>
  <c r="Q72" i="1"/>
  <c r="T72" i="1"/>
  <c r="S72" i="1"/>
  <c r="O72" i="1"/>
  <c r="AE72" i="1"/>
  <c r="D40" i="1"/>
  <c r="AA7" i="1" s="1"/>
  <c r="AE56" i="1"/>
  <c r="W56" i="1"/>
  <c r="Z56" i="1"/>
  <c r="Q56" i="1"/>
  <c r="X56" i="1"/>
  <c r="O56" i="1"/>
  <c r="AB56" i="1"/>
  <c r="S56" i="1"/>
  <c r="K56" i="1"/>
  <c r="V56" i="1"/>
  <c r="J56" i="1"/>
  <c r="U56" i="1"/>
  <c r="T56" i="1"/>
  <c r="F56" i="1"/>
  <c r="AA56" i="1"/>
  <c r="M56" i="1"/>
  <c r="AC56" i="1"/>
  <c r="AD69" i="1"/>
  <c r="V69" i="1"/>
  <c r="N69" i="1"/>
  <c r="AB69" i="1"/>
  <c r="T69" i="1"/>
  <c r="L69" i="1"/>
  <c r="Z69" i="1"/>
  <c r="R69" i="1"/>
  <c r="J69" i="1"/>
  <c r="Y69" i="1"/>
  <c r="Q69" i="1"/>
  <c r="AC69" i="1"/>
  <c r="M69" i="1"/>
  <c r="AA69" i="1"/>
  <c r="K69" i="1"/>
  <c r="X69" i="1"/>
  <c r="AF69" i="1"/>
  <c r="P69" i="1"/>
  <c r="O69" i="1"/>
  <c r="E69" i="1"/>
  <c r="U69" i="1"/>
  <c r="AB20" i="1"/>
  <c r="T20" i="1"/>
  <c r="L20" i="1"/>
  <c r="O20" i="1"/>
  <c r="X20" i="1"/>
  <c r="AA36" i="1"/>
  <c r="S36" i="1"/>
  <c r="K36" i="1"/>
  <c r="Z36" i="1"/>
  <c r="R36" i="1"/>
  <c r="J36" i="1"/>
  <c r="P36" i="1"/>
  <c r="AB36" i="1"/>
  <c r="AB49" i="1"/>
  <c r="AD56" i="1"/>
  <c r="AE83" i="1"/>
  <c r="Z43" i="1"/>
  <c r="R43" i="1"/>
  <c r="J43" i="1"/>
  <c r="Y43" i="1"/>
  <c r="Q43" i="1"/>
  <c r="AF43" i="1"/>
  <c r="X43" i="1"/>
  <c r="P43" i="1"/>
  <c r="AB43" i="1"/>
  <c r="T43" i="1"/>
  <c r="L43" i="1"/>
  <c r="U43" i="1"/>
  <c r="AF56" i="1"/>
  <c r="S69" i="1"/>
  <c r="AB85" i="1"/>
  <c r="O81" i="1"/>
  <c r="N29" i="1"/>
  <c r="V29" i="1"/>
  <c r="T79" i="1"/>
  <c r="N49" i="1"/>
  <c r="V49" i="1"/>
  <c r="AD49" i="1"/>
  <c r="AC66" i="1"/>
  <c r="U66" i="1"/>
  <c r="M66" i="1"/>
  <c r="AA66" i="1"/>
  <c r="S66" i="1"/>
  <c r="K66" i="1"/>
  <c r="AF66" i="1"/>
  <c r="X66" i="1"/>
  <c r="P66" i="1"/>
  <c r="E66" i="1"/>
  <c r="E62" i="1" s="1"/>
  <c r="T66" i="1"/>
  <c r="M68" i="1"/>
  <c r="AC68" i="1"/>
  <c r="O74" i="1"/>
  <c r="K76" i="1"/>
  <c r="AA76" i="1"/>
  <c r="L79" i="1"/>
  <c r="AB79" i="1"/>
  <c r="AF74" i="1"/>
  <c r="X74" i="1"/>
  <c r="P74" i="1"/>
  <c r="E74" i="1"/>
  <c r="AD74" i="1"/>
  <c r="V74" i="1"/>
  <c r="N74" i="1"/>
  <c r="AB74" i="1"/>
  <c r="T74" i="1"/>
  <c r="L74" i="1"/>
  <c r="AA74" i="1"/>
  <c r="S74" i="1"/>
  <c r="K74" i="1"/>
  <c r="W74" i="1"/>
  <c r="AB77" i="1"/>
  <c r="Y81" i="1"/>
  <c r="Q81" i="1"/>
  <c r="AF81" i="1"/>
  <c r="X81" i="1"/>
  <c r="P81" i="1"/>
  <c r="E81" i="1"/>
  <c r="AD81" i="1"/>
  <c r="V81" i="1"/>
  <c r="N81" i="1"/>
  <c r="AB81" i="1"/>
  <c r="T81" i="1"/>
  <c r="L81" i="1"/>
  <c r="AA81" i="1"/>
  <c r="S81" i="1"/>
  <c r="K81" i="1"/>
  <c r="Z81" i="1"/>
  <c r="AF68" i="1"/>
  <c r="X68" i="1"/>
  <c r="P68" i="1"/>
  <c r="E68" i="1"/>
  <c r="AD68" i="1"/>
  <c r="V68" i="1"/>
  <c r="N68" i="1"/>
  <c r="AB68" i="1"/>
  <c r="T68" i="1"/>
  <c r="L68" i="1"/>
  <c r="D67" i="1"/>
  <c r="AA68" i="1"/>
  <c r="S68" i="1"/>
  <c r="K68" i="1"/>
  <c r="W68" i="1"/>
  <c r="AD76" i="1"/>
  <c r="V76" i="1"/>
  <c r="N76" i="1"/>
  <c r="AB76" i="1"/>
  <c r="T76" i="1"/>
  <c r="L76" i="1"/>
  <c r="Z76" i="1"/>
  <c r="R76" i="1"/>
  <c r="J76" i="1"/>
  <c r="Y76" i="1"/>
  <c r="Q76" i="1"/>
  <c r="U76" i="1"/>
  <c r="Z79" i="1"/>
  <c r="R79" i="1"/>
  <c r="J79" i="1"/>
  <c r="AF79" i="1"/>
  <c r="X79" i="1"/>
  <c r="P79" i="1"/>
  <c r="E79" i="1"/>
  <c r="AD79" i="1"/>
  <c r="V79" i="1"/>
  <c r="N79" i="1"/>
  <c r="AC79" i="1"/>
  <c r="U79" i="1"/>
  <c r="M79" i="1"/>
  <c r="W79" i="1"/>
  <c r="L49" i="1"/>
  <c r="T49" i="1"/>
  <c r="Q66" i="1"/>
  <c r="AD66" i="1"/>
  <c r="Y68" i="1"/>
  <c r="AB71" i="1"/>
  <c r="J74" i="1"/>
  <c r="Z74" i="1"/>
  <c r="E76" i="1"/>
  <c r="W76" i="1"/>
  <c r="Y79" i="1"/>
  <c r="J81" i="1"/>
  <c r="AE81" i="1"/>
  <c r="O71" i="1"/>
  <c r="W71" i="1"/>
  <c r="AE71" i="1"/>
  <c r="O77" i="1"/>
  <c r="W77" i="1"/>
  <c r="AE77" i="1"/>
  <c r="O85" i="1"/>
  <c r="W85" i="1"/>
  <c r="AE85" i="1"/>
  <c r="E71" i="1"/>
  <c r="P71" i="1"/>
  <c r="X71" i="1"/>
  <c r="AF71" i="1"/>
  <c r="E77" i="1"/>
  <c r="P77" i="1"/>
  <c r="X77" i="1"/>
  <c r="AF77" i="1"/>
  <c r="J83" i="1"/>
  <c r="R83" i="1"/>
  <c r="Z83" i="1"/>
  <c r="E85" i="1"/>
  <c r="P85" i="1"/>
  <c r="X85" i="1"/>
  <c r="AF85" i="1"/>
  <c r="J71" i="1"/>
  <c r="R71" i="1"/>
  <c r="Z71" i="1"/>
  <c r="J77" i="1"/>
  <c r="R77" i="1"/>
  <c r="Z77" i="1"/>
  <c r="O65" i="1"/>
  <c r="W65" i="1"/>
  <c r="L71" i="1"/>
  <c r="T71" i="1"/>
  <c r="L77" i="1"/>
  <c r="T77" i="1"/>
  <c r="N83" i="1"/>
  <c r="V83" i="1"/>
  <c r="AD83" i="1"/>
  <c r="L85" i="1"/>
  <c r="T85" i="1"/>
  <c r="O83" i="1"/>
  <c r="W83" i="1"/>
  <c r="L41" i="1" l="1"/>
  <c r="T41" i="1"/>
  <c r="AB41" i="1"/>
  <c r="V41" i="1"/>
  <c r="Y41" i="1"/>
  <c r="O41" i="1"/>
  <c r="W41" i="1"/>
  <c r="AB28" i="1"/>
  <c r="AE41" i="1"/>
  <c r="AA41" i="1"/>
  <c r="Z41" i="1"/>
  <c r="X41" i="1"/>
  <c r="U41" i="1"/>
  <c r="M41" i="1"/>
  <c r="K41" i="1"/>
  <c r="AC41" i="1"/>
  <c r="V28" i="1"/>
  <c r="Q41" i="1"/>
  <c r="R41" i="1"/>
  <c r="S41" i="1"/>
  <c r="N28" i="1"/>
  <c r="O7" i="1"/>
  <c r="J28" i="1"/>
  <c r="Z28" i="1"/>
  <c r="P28" i="1"/>
  <c r="M28" i="1"/>
  <c r="AA28" i="1"/>
  <c r="Q7" i="1"/>
  <c r="R7" i="1"/>
  <c r="U28" i="1"/>
  <c r="AD28" i="1"/>
  <c r="F62" i="1"/>
  <c r="K62" i="1"/>
  <c r="N62" i="1"/>
  <c r="AC62" i="1"/>
  <c r="J62" i="1"/>
  <c r="W62" i="1"/>
  <c r="L62" i="1"/>
  <c r="Q62" i="1"/>
  <c r="V62" i="1"/>
  <c r="O62" i="1"/>
  <c r="U62" i="1"/>
  <c r="AF62" i="1"/>
  <c r="Y62" i="1"/>
  <c r="M62" i="1"/>
  <c r="AB62" i="1"/>
  <c r="S62" i="1"/>
  <c r="R62" i="1"/>
  <c r="X62" i="1"/>
  <c r="AA62" i="1"/>
  <c r="Z62" i="1"/>
  <c r="AE62" i="1"/>
  <c r="T62" i="1"/>
  <c r="P62" i="1"/>
  <c r="AD62" i="1"/>
  <c r="AB7" i="1"/>
  <c r="P7" i="1"/>
  <c r="AD7" i="1"/>
  <c r="W28" i="1"/>
  <c r="L28" i="1"/>
  <c r="AE7" i="1"/>
  <c r="Y7" i="1"/>
  <c r="E67" i="1"/>
  <c r="F67" i="1" s="1"/>
  <c r="O28" i="1"/>
  <c r="S28" i="1"/>
  <c r="AF28" i="1"/>
  <c r="K28" i="1"/>
  <c r="AE28" i="1"/>
  <c r="E40" i="1"/>
  <c r="F40" i="1" s="1"/>
  <c r="F41" i="1"/>
  <c r="J41" i="1"/>
  <c r="N41" i="1"/>
  <c r="AD41" i="1"/>
  <c r="E17" i="1"/>
  <c r="F17" i="1" s="1"/>
  <c r="AC7" i="1"/>
  <c r="U7" i="1"/>
  <c r="M7" i="1"/>
  <c r="L7" i="1"/>
  <c r="X7" i="1"/>
  <c r="T7" i="1"/>
  <c r="AF7" i="1"/>
  <c r="S7" i="1"/>
  <c r="K7" i="1"/>
  <c r="J7" i="1"/>
  <c r="T28" i="1"/>
  <c r="Q28" i="1"/>
  <c r="V7" i="1"/>
  <c r="N7" i="1"/>
  <c r="R28" i="1"/>
  <c r="Z7" i="1"/>
  <c r="X28" i="1"/>
  <c r="AC28" i="1"/>
  <c r="Y28" i="1"/>
  <c r="P41" i="1"/>
  <c r="W7" i="1"/>
  <c r="W17" i="1" l="1"/>
  <c r="K40" i="1"/>
  <c r="M40" i="1"/>
  <c r="O40" i="1"/>
  <c r="J17" i="1"/>
  <c r="N17" i="1"/>
  <c r="P17" i="1"/>
  <c r="V17" i="1"/>
  <c r="T17" i="1"/>
  <c r="AD17" i="1"/>
  <c r="X17" i="1"/>
  <c r="AB17" i="1"/>
  <c r="Y17" i="1"/>
  <c r="Q17" i="1"/>
  <c r="Q40" i="1"/>
  <c r="L17" i="1"/>
  <c r="M17" i="1"/>
  <c r="R17" i="1"/>
  <c r="Z17" i="1"/>
  <c r="S40" i="1"/>
  <c r="AE17" i="1"/>
  <c r="U17" i="1"/>
  <c r="K17" i="1"/>
  <c r="AD40" i="1"/>
  <c r="T67" i="1"/>
  <c r="AE67" i="1"/>
  <c r="AD67" i="1"/>
  <c r="AC40" i="1"/>
  <c r="V40" i="1"/>
  <c r="S67" i="1"/>
  <c r="X67" i="1"/>
  <c r="Y67" i="1"/>
  <c r="M67" i="1"/>
  <c r="AF67" i="1"/>
  <c r="U67" i="1"/>
  <c r="L40" i="1"/>
  <c r="J40" i="1"/>
  <c r="AE40" i="1"/>
  <c r="AB67" i="1"/>
  <c r="U40" i="1"/>
  <c r="T40" i="1"/>
  <c r="W40" i="1"/>
  <c r="K67" i="1"/>
  <c r="J67" i="1"/>
  <c r="AF17" i="1"/>
  <c r="AC17" i="1"/>
  <c r="S17" i="1"/>
  <c r="L67" i="1"/>
  <c r="AC67" i="1"/>
  <c r="R67" i="1"/>
  <c r="Y40" i="1"/>
  <c r="R40" i="1"/>
  <c r="P40" i="1"/>
  <c r="O17" i="1"/>
  <c r="AA17" i="1"/>
  <c r="W67" i="1"/>
  <c r="N67" i="1"/>
  <c r="Z67" i="1"/>
  <c r="AA40" i="1"/>
  <c r="Z40" i="1"/>
  <c r="X40" i="1"/>
  <c r="AA67" i="1"/>
  <c r="Q67" i="1"/>
  <c r="P67" i="1"/>
  <c r="O67" i="1"/>
  <c r="V67" i="1"/>
  <c r="AB40" i="1"/>
  <c r="N40" i="1"/>
  <c r="AF4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Arbeitsplan</author>
  </authors>
  <commentList>
    <comment ref="B10" authorId="0" shapeId="0" xr:uid="{00000000-0006-0000-0000-000001000000}">
      <text>
        <r>
          <rPr>
            <sz val="11"/>
            <color rgb="FF000000"/>
            <rFont val="Calibri"/>
            <family val="2"/>
          </rPr>
          <t>Nur begutachtete Journal-Artikel zählen für die Einlage.</t>
        </r>
      </text>
    </comment>
    <comment ref="B11" authorId="0" shapeId="0" xr:uid="{00000000-0006-0000-0000-000002000000}">
      <text>
        <r>
          <rPr>
            <sz val="11"/>
            <color rgb="FF000000"/>
            <rFont val="Calibri"/>
            <family val="2"/>
          </rPr>
          <t>Im Repo: Kondo &amp; Nakanishi (Rattleback dynamics and its reversal time of rotation) und Garcia &amp; Hubbard (Spin reversal of the rattleback: theory and experiment).</t>
        </r>
      </text>
    </comment>
    <comment ref="B12" authorId="0" shapeId="0" xr:uid="{00000000-0006-0000-0000-000003000000}">
      <text>
        <r>
          <rPr>
            <sz val="11"/>
            <color rgb="FF000000"/>
            <rFont val="Calibri"/>
            <family val="2"/>
          </rPr>
          <t>Das Paper muss später in Messergebnis und Vortrag verwendet werden.</t>
        </r>
      </text>
    </comment>
    <comment ref="B13" authorId="0" shapeId="0" xr:uid="{00000000-0006-0000-0000-000004000000}">
      <text>
        <r>
          <rPr>
            <sz val="11"/>
            <color rgb="FF000000"/>
            <rFont val="Calibri"/>
            <family val="2"/>
          </rPr>
          <t>Instabilität um das Gleichgewicht: Nick- vs. Rollmode, Kopplung über Verdrehwinkel δ.</t>
        </r>
      </text>
    </comment>
    <comment ref="B14" authorId="0" shapeId="0" xr:uid="{00000000-0006-0000-0000-000005000000}">
      <text>
        <r>
          <rPr>
            <sz val="11"/>
            <color rgb="FF000000"/>
            <rFont val="Calibri"/>
            <family val="2"/>
          </rPr>
          <t>rattleback_check.py aus dem OpenSCAD-Projekt rechnet das direkt aus dem Mesh.</t>
        </r>
      </text>
    </comment>
    <comment ref="B16" authorId="0" shapeId="0" xr:uid="{00000000-0006-0000-0000-000006000000}">
      <text>
        <r>
          <rPr>
            <sz val="11"/>
            <color rgb="FF000000"/>
            <rFont val="Calibri"/>
            <family val="2"/>
          </rPr>
          <t>Vorhersage VOR der Messung festhalten → sauberer Theorievergleich.</t>
        </r>
      </text>
    </comment>
    <comment ref="B19" authorId="0" shapeId="0" xr:uid="{00000000-0006-0000-0000-000007000000}">
      <text>
        <r>
          <rPr>
            <sz val="11"/>
            <color rgb="FF000000"/>
            <rFont val="Calibri"/>
            <family val="2"/>
          </rPr>
          <t xml:space="preserve">Anforderungen: Gyro ≥ 1000 </t>
        </r>
        <r>
          <rPr>
            <sz val="11"/>
            <color rgb="FF000000"/>
            <rFont val="Calibri"/>
            <family val="2"/>
          </rPr>
          <t>°</t>
        </r>
        <r>
          <rPr>
            <sz val="11"/>
            <color rgb="FF000000"/>
            <rFont val="Calibri"/>
            <family val="2"/>
          </rPr>
          <t>/s, ≥ 200 Hz Abtastung, klein + leicht, Logging oder Funk.</t>
        </r>
      </text>
    </comment>
    <comment ref="B22" authorId="0" shapeId="0" xr:uid="{00000000-0006-0000-0000-000008000000}">
      <text>
        <r>
          <rPr>
            <sz val="11"/>
            <color rgb="FF000000"/>
            <rFont val="Calibri"/>
            <family val="2"/>
          </rPr>
          <t>Schaltplan/Pinbelegung, Platinenmaße passend zum Sensorfach, Stromversorgung.</t>
        </r>
      </text>
    </comment>
    <comment ref="B24" authorId="0" shapeId="0" xr:uid="{00000000-0006-0000-0000-000009000000}">
      <text>
        <r>
          <rPr>
            <sz val="11"/>
            <color rgb="FF000000"/>
            <rFont val="Calibri"/>
            <family val="2"/>
          </rPr>
          <t>Annahme ~4 Wochen – bei Abgabe nachfragen und anpassen.</t>
        </r>
      </text>
    </comment>
    <comment ref="B26" authorId="0" shapeId="0" xr:uid="{00000000-0006-0000-0000-00000A000000}">
      <text>
        <r>
          <rPr>
            <sz val="11"/>
            <color rgb="FF000000"/>
            <rFont val="Calibri"/>
            <family val="2"/>
          </rPr>
          <t>Parallel zur Werkstatt mit Dev-Board entwickeln.</t>
        </r>
      </text>
    </comment>
    <comment ref="B30" authorId="0" shapeId="0" xr:uid="{00000000-0006-0000-0000-00000B000000}">
      <text>
        <r>
          <rPr>
            <sz val="11"/>
            <color rgb="FF000000"/>
            <rFont val="Calibri"/>
            <family val="2"/>
          </rPr>
          <t>Parametrisches OpenSCAD-Modell (80/120/160 mm) existiert bereits.</t>
        </r>
      </text>
    </comment>
    <comment ref="B31" authorId="0" shapeId="0" xr:uid="{00000000-0006-0000-0000-00000C000000}">
      <text>
        <r>
          <rPr>
            <sz val="11"/>
            <color rgb="FF000000"/>
            <rFont val="Calibri"/>
            <family val="2"/>
          </rPr>
          <t>100 % Infill, sonst stimmt die Massenverteilung nicht mit dem Modell.</t>
        </r>
      </text>
    </comment>
    <comment ref="B32" authorId="0" shapeId="0" xr:uid="{00000000-0006-0000-0000-00000D000000}">
      <text>
        <r>
          <rPr>
            <sz val="11"/>
            <color rgb="FF000000"/>
            <rFont val="Calibri"/>
            <family val="2"/>
          </rPr>
          <t>Kiel glatt, aber Krümmung nicht verfälschen.</t>
        </r>
      </text>
    </comment>
    <comment ref="B33" authorId="0" shapeId="0" xr:uid="{00000000-0006-0000-0000-00000E000000}">
      <text>
        <r>
          <rPr>
            <sz val="11"/>
            <color rgb="FF000000"/>
            <rFont val="Calibri"/>
            <family val="2"/>
          </rPr>
          <t>Eine Drehrichtung stabil, die andere kehrt um?</t>
        </r>
      </text>
    </comment>
    <comment ref="B37" authorId="0" shapeId="0" xr:uid="{00000000-0006-0000-0000-00000F000000}">
      <text>
        <r>
          <rPr>
            <sz val="11"/>
            <color rgb="FF000000"/>
            <rFont val="Calibri"/>
            <family val="2"/>
          </rPr>
          <t>Schwerpunkt muss über dem Auflagepunkt bleiben.</t>
        </r>
      </text>
    </comment>
    <comment ref="B42" authorId="0" shapeId="0" xr:uid="{00000000-0006-0000-0000-000011000000}">
      <text>
        <r>
          <rPr>
            <sz val="11"/>
            <color theme="1"/>
            <rFont val="Calibri"/>
            <family val="2"/>
            <scheme val="minor"/>
          </rPr>
          <t>30 cm × 30 cm</t>
        </r>
      </text>
    </comment>
    <comment ref="B47" authorId="0" shapeId="0" xr:uid="{00000000-0006-0000-0000-000012000000}">
      <text>
        <r>
          <rPr>
            <sz val="11"/>
            <color rgb="FF000000"/>
            <rFont val="Calibri"/>
            <family val="2"/>
          </rPr>
          <t>Unabhängiger Abgleich der IMU-Daten.</t>
        </r>
      </text>
    </comment>
    <comment ref="B50" authorId="0" shapeId="0" xr:uid="{00000000-0006-0000-0000-000013000000}">
      <text>
        <r>
          <rPr>
            <sz val="11"/>
            <color rgb="FF000000"/>
            <rFont val="Calibri"/>
            <family val="2"/>
          </rPr>
          <t>Elektronisch – ein Tag wird Pflicht-Einlage.</t>
        </r>
      </text>
    </comment>
    <comment ref="B55" authorId="0" shapeId="0" xr:uid="{00000000-0006-0000-0000-000014000000}">
      <text>
        <r>
          <rPr>
            <sz val="11"/>
            <color rgb="FF000000"/>
            <rFont val="Calibri"/>
            <family val="2"/>
          </rPr>
          <t>Letzter Praktikumstermin im Kalender.</t>
        </r>
      </text>
    </comment>
    <comment ref="B60" authorId="0" shapeId="0" xr:uid="{00000000-0006-0000-0000-000015000000}">
      <text>
        <r>
          <rPr>
            <sz val="11"/>
            <color rgb="FF000000"/>
            <rFont val="Calibri"/>
            <family val="2"/>
          </rPr>
          <t>Bezug zum Paper ist Pflicht für die Einlage Messergebnis.</t>
        </r>
      </text>
    </comment>
    <comment ref="B63" authorId="0" shapeId="0" xr:uid="{00000000-0006-0000-0000-000016000000}">
      <text>
        <r>
          <rPr>
            <sz val="11"/>
            <color rgb="FF000000"/>
            <rFont val="Calibri"/>
            <family val="2"/>
          </rPr>
          <t>Quellen auf derselben Folie mit Autor + Jahr, [1] reicht nicht.</t>
        </r>
      </text>
    </comment>
    <comment ref="B66" authorId="0" shapeId="0" xr:uid="{00000000-0006-0000-0000-000017000000}">
      <text>
        <r>
          <rPr>
            <sz val="11"/>
            <color rgb="FF000000"/>
            <rFont val="Calibri"/>
            <family val="2"/>
          </rPr>
          <t>Uhrzeit/Raum noch offen (Kalender).</t>
        </r>
      </text>
    </comment>
    <comment ref="B68" authorId="0" shapeId="0" xr:uid="{00000000-0006-0000-0000-000018000000}">
      <text>
        <r>
          <rPr>
            <sz val="11"/>
            <color rgb="FF000000"/>
            <rFont val="Calibri"/>
            <family val="2"/>
          </rPr>
          <t>Schwerpunkte müssen sich unterscheiden.</t>
        </r>
      </text>
    </comment>
    <comment ref="B73" authorId="0" shapeId="0" xr:uid="{00000000-0006-0000-0000-000019000000}">
      <text>
        <r>
          <rPr>
            <sz val="11"/>
            <color theme="1"/>
            <rFont val="Calibri"/>
            <family val="2"/>
            <scheme val="minor"/>
          </rPr>
          <t>Nicht denselben Praktikumstag wie der Partner.</t>
        </r>
      </text>
    </comment>
    <comment ref="B77" authorId="0" shapeId="0" xr:uid="{00000000-0006-0000-0000-00001A000000}">
      <text>
        <r>
          <rPr>
            <sz val="11"/>
            <color rgb="FF000000"/>
            <rFont val="Calibri"/>
            <family val="2"/>
          </rPr>
          <t>Datum aus Plan Petros – im Hochschulportal prüfen.</t>
        </r>
      </text>
    </comment>
    <comment ref="B80" authorId="0" shapeId="0" xr:uid="{00000000-0006-0000-0000-00001B000000}">
      <text>
        <r>
          <rPr>
            <sz val="11"/>
            <color theme="1"/>
            <rFont val="Calibri"/>
            <family val="2"/>
            <scheme val="minor"/>
          </rPr>
          <t>Quantitative Aussage mit Bezug zum Schwerpunkt.</t>
        </r>
      </text>
    </comment>
    <comment ref="B82" authorId="0" shapeId="0" xr:uid="{00000000-0006-0000-0000-00001C000000}">
      <text>
        <r>
          <rPr>
            <sz val="11"/>
            <color theme="1"/>
            <rFont val="Calibri"/>
            <family val="2"/>
            <scheme val="minor"/>
          </rPr>
          <t>Motivationsformular als Ausgangspunkt.</t>
        </r>
      </text>
    </comment>
    <comment ref="B83" authorId="0" shapeId="0" xr:uid="{00000000-0006-0000-0000-00001D000000}">
      <text>
        <r>
          <rPr>
            <sz val="11"/>
            <color rgb="FF000000"/>
            <rFont val="Calibri"/>
            <family val="2"/>
          </rPr>
          <t>Datum aus Plan Petros – im Hochschulportal prüfen.</t>
        </r>
      </text>
    </comment>
  </commentList>
</comments>
</file>

<file path=xl/sharedStrings.xml><?xml version="1.0" encoding="utf-8"?>
<sst xmlns="http://schemas.openxmlformats.org/spreadsheetml/2006/main" count="477" uniqueCount="249">
  <si>
    <t>Arbeitsplan — Dynamik Keltischer Wackelsteine</t>
  </si>
  <si>
    <t>Stand:</t>
  </si>
  <si>
    <t>Legende (Namen überschreibbar):</t>
  </si>
  <si>
    <t>Kristijan</t>
  </si>
  <si>
    <t>Janosch</t>
  </si>
  <si>
    <t>Beide</t>
  </si>
  <si>
    <t>offen</t>
  </si>
  <si>
    <t>◆</t>
  </si>
  <si>
    <t>Abgabe</t>
  </si>
  <si>
    <t>●</t>
  </si>
  <si>
    <t>Praktikumstag</t>
  </si>
  <si>
    <t>Praktikumspause</t>
  </si>
  <si>
    <t>aktuelle KW</t>
  </si>
  <si>
    <t>Gruppe (Summe)</t>
  </si>
  <si>
    <t>Projektpraktikum WS 26/27 · Universität Ulm · Kristijan &amp; Janosch</t>
  </si>
  <si>
    <t>Nr</t>
  </si>
  <si>
    <t>Aufgabe</t>
  </si>
  <si>
    <t>Wer</t>
  </si>
  <si>
    <t>Start</t>
  </si>
  <si>
    <t>Ende</t>
  </si>
  <si>
    <t>Tage</t>
  </si>
  <si>
    <t>Status</t>
  </si>
  <si>
    <t>Typ</t>
  </si>
  <si>
    <t>KW 42</t>
  </si>
  <si>
    <t>KW 43</t>
  </si>
  <si>
    <t>KW 44</t>
  </si>
  <si>
    <t>KW 45</t>
  </si>
  <si>
    <t>KW 46</t>
  </si>
  <si>
    <t>KW 47</t>
  </si>
  <si>
    <t>KW 48</t>
  </si>
  <si>
    <t>KW 49</t>
  </si>
  <si>
    <t>KW 50</t>
  </si>
  <si>
    <t>KW 51</t>
  </si>
  <si>
    <t>KW 52</t>
  </si>
  <si>
    <t>KW 53</t>
  </si>
  <si>
    <t>KW 1</t>
  </si>
  <si>
    <t>KW 2</t>
  </si>
  <si>
    <t>KW 3</t>
  </si>
  <si>
    <t>KW 4</t>
  </si>
  <si>
    <t>KW 5</t>
  </si>
  <si>
    <t>KW 6</t>
  </si>
  <si>
    <t>KW 7</t>
  </si>
  <si>
    <t>KW 8</t>
  </si>
  <si>
    <t>KW 9</t>
  </si>
  <si>
    <t>KW 10</t>
  </si>
  <si>
    <t>KW 11</t>
  </si>
  <si>
    <t>◆  Abgaben (Moodle / Portal)</t>
  </si>
  <si>
    <t>●  Praktikumstage</t>
  </si>
  <si>
    <t>1</t>
  </si>
  <si>
    <t>Theorie &amp; Literatur</t>
  </si>
  <si>
    <t>G</t>
  </si>
  <si>
    <t>1.1</t>
  </si>
  <si>
    <t>Literaturrecherche (Web of Science, Google Scholar)</t>
  </si>
  <si>
    <t>A</t>
  </si>
  <si>
    <t>1.2</t>
  </si>
  <si>
    <t>1.3</t>
  </si>
  <si>
    <t>1.4</t>
  </si>
  <si>
    <t>1.5</t>
  </si>
  <si>
    <t>1.6</t>
  </si>
  <si>
    <t>1.7</t>
  </si>
  <si>
    <t>Vorhersage Umkehrzeit vs. Anfangs-ω und δ</t>
  </si>
  <si>
    <t>2</t>
  </si>
  <si>
    <t>Materialien</t>
  </si>
  <si>
    <t>2.1</t>
  </si>
  <si>
    <t>Sensor</t>
  </si>
  <si>
    <t>2.1.1</t>
  </si>
  <si>
    <t>2.1.2</t>
  </si>
  <si>
    <t>Auftrag E-Werkstatt</t>
  </si>
  <si>
    <t>2.1.2.1</t>
  </si>
  <si>
    <t>Bauteile vorhanden?</t>
  </si>
  <si>
    <t>2.1.2.2</t>
  </si>
  <si>
    <t>Auftrag formulieren</t>
  </si>
  <si>
    <t>2.1.2.3</t>
  </si>
  <si>
    <t>Bauteile vorbeibringen</t>
  </si>
  <si>
    <t>2.1.2.4</t>
  </si>
  <si>
    <t>Bearbeitung E-Werkstatt (extern, Wartezeit)</t>
  </si>
  <si>
    <t>2.1.2.5</t>
  </si>
  <si>
    <t>Platine abholen + Funktionstest</t>
  </si>
  <si>
    <t>2.1.3</t>
  </si>
  <si>
    <t>2.1.4</t>
  </si>
  <si>
    <t>2.2</t>
  </si>
  <si>
    <t>Wackelstein</t>
  </si>
  <si>
    <t>2.2.1</t>
  </si>
  <si>
    <t>Prototyp (nur Stein)</t>
  </si>
  <si>
    <t>2.2.1.1</t>
  </si>
  <si>
    <t>STL erstellen für Teststeine</t>
  </si>
  <si>
    <t>2.2.1.2</t>
  </si>
  <si>
    <t>STL drucken lassen</t>
  </si>
  <si>
    <t>2.2.1.3</t>
  </si>
  <si>
    <t>3D-Druck schleifen</t>
  </si>
  <si>
    <t>2.2.1.4</t>
  </si>
  <si>
    <t>Funktionalität testen</t>
  </si>
  <si>
    <t>2.2.1.5</t>
  </si>
  <si>
    <t>Mögliche Verbesserungen vornehmen</t>
  </si>
  <si>
    <t>2.2.1.6</t>
  </si>
  <si>
    <t>Neuer Prototyp</t>
  </si>
  <si>
    <t>2.2.2</t>
  </si>
  <si>
    <t>Messkörper mit Sensorfach</t>
  </si>
  <si>
    <t>2.2.2.1</t>
  </si>
  <si>
    <t>2.2.2.2</t>
  </si>
  <si>
    <t>Drucken + Sensor einbauen</t>
  </si>
  <si>
    <t>2.2.2.3</t>
  </si>
  <si>
    <t>Masse + Schwerpunkt nachmessen</t>
  </si>
  <si>
    <t>3</t>
  </si>
  <si>
    <t>Versuchsaufbau</t>
  </si>
  <si>
    <t>3.1</t>
  </si>
  <si>
    <t>Glasplatte</t>
  </si>
  <si>
    <t>3.1.1</t>
  </si>
  <si>
    <t>Glasplatte besorgen (30 cm × 30 cm)</t>
  </si>
  <si>
    <t>3.1.2</t>
  </si>
  <si>
    <t>Glasplatte testen</t>
  </si>
  <si>
    <t>3.1.2.1</t>
  </si>
  <si>
    <t>Reibung (Haftreibung → Rollen ohne Gleiten?)</t>
  </si>
  <si>
    <t>3.1.2.2</t>
  </si>
  <si>
    <t>Oberfläche (Ebenheit, Kratzer, Sauberkeit)</t>
  </si>
  <si>
    <t>3.1.3</t>
  </si>
  <si>
    <t>Nivellieren (Wasserwaage)</t>
  </si>
  <si>
    <t>3.2</t>
  </si>
  <si>
    <t>3.3</t>
  </si>
  <si>
    <t>Reproduzierbarer Anstoß (definiertes Anfangs-ω)</t>
  </si>
  <si>
    <t>4</t>
  </si>
  <si>
    <t>Messungen</t>
  </si>
  <si>
    <t>4.1</t>
  </si>
  <si>
    <t>4.2</t>
  </si>
  <si>
    <t>Testmessung kompletter Aufbau</t>
  </si>
  <si>
    <t>4.3</t>
  </si>
  <si>
    <t>Messreihe 1: Spin-Umkehr, Anfangs-ω variiert</t>
  </si>
  <si>
    <t>4.4</t>
  </si>
  <si>
    <t>Messreihe 2: Nick- vs. Roll-Anregung</t>
  </si>
  <si>
    <t>4.5</t>
  </si>
  <si>
    <t>4.6</t>
  </si>
  <si>
    <t>Nachmessungen / Puffer</t>
  </si>
  <si>
    <t>5</t>
  </si>
  <si>
    <t>Auswertung</t>
  </si>
  <si>
    <t>5.1</t>
  </si>
  <si>
    <t>5.2</t>
  </si>
  <si>
    <t>Umkehrzeit + Wachstumsraten der Instabilität fitten</t>
  </si>
  <si>
    <t>5.3</t>
  </si>
  <si>
    <t>Fehlerrechnung</t>
  </si>
  <si>
    <t>5.4</t>
  </si>
  <si>
    <t>Vergleich Messung ↔ Theorie/Simulation</t>
  </si>
  <si>
    <t>5.5</t>
  </si>
  <si>
    <t>Endauswertung inkl. Messreihe 3</t>
  </si>
  <si>
    <t>6</t>
  </si>
  <si>
    <t>Vortrag</t>
  </si>
  <si>
    <t>6.1</t>
  </si>
  <si>
    <t>Folien erstellen (Beamer-Vorlage, Zitate auf jeder Folie)</t>
  </si>
  <si>
    <t>6.2</t>
  </si>
  <si>
    <t>Probevortrag</t>
  </si>
  <si>
    <t>6.3</t>
  </si>
  <si>
    <t>◆  Abgabe Folien + Zusatzmaterial</t>
  </si>
  <si>
    <t>M</t>
  </si>
  <si>
    <t>6.4</t>
  </si>
  <si>
    <t>◆  Vortrag (Prüfung, Anwesenheitspflicht)</t>
  </si>
  <si>
    <t>7</t>
  </si>
  <si>
    <t>Portfolio (jeder individuell)</t>
  </si>
  <si>
    <t>7.1</t>
  </si>
  <si>
    <t>◆  Schwerpunktthema final</t>
  </si>
  <si>
    <t>7.2</t>
  </si>
  <si>
    <t>◆  Motivationsformular</t>
  </si>
  <si>
    <t>7.3</t>
  </si>
  <si>
    <t>Arbeitsplan + Reflexion schreiben</t>
  </si>
  <si>
    <t>7.4</t>
  </si>
  <si>
    <t>◆  Abgabe Arbeitsplan + Reflexion</t>
  </si>
  <si>
    <t>7.5</t>
  </si>
  <si>
    <t>◆  Abgabe wissenschaftliche Arbeit + Reflexion</t>
  </si>
  <si>
    <t>7.6</t>
  </si>
  <si>
    <t>Protokoll-Einlage + Reflexion schreiben</t>
  </si>
  <si>
    <t>7.7</t>
  </si>
  <si>
    <t>◆  Abgabe Protokoll Praktikumstag</t>
  </si>
  <si>
    <t>7.8</t>
  </si>
  <si>
    <t>Messergebnis-Einlage schreiben</t>
  </si>
  <si>
    <t>7.9</t>
  </si>
  <si>
    <t>◆  Abgabe Messergebnis + Reflexion</t>
  </si>
  <si>
    <t>7.10</t>
  </si>
  <si>
    <t>◆  Anmeldung mündliche Prüfung (Portal)</t>
  </si>
  <si>
    <t>7.11</t>
  </si>
  <si>
    <t>Vortragsreflexion schreiben</t>
  </si>
  <si>
    <t>7.12</t>
  </si>
  <si>
    <t>◆  Abgabe Vortrag + Reflexion (empfohlen)</t>
  </si>
  <si>
    <t>7.13</t>
  </si>
  <si>
    <t>Aussage aus anderem Vortrag + Reflexion schreiben</t>
  </si>
  <si>
    <t>7.14</t>
  </si>
  <si>
    <t>◆  Abgabe Aussage anderer Vortrag (empfohlen)</t>
  </si>
  <si>
    <t>7.15</t>
  </si>
  <si>
    <t>Einleitung + Gesamtreflexion schreiben</t>
  </si>
  <si>
    <t>7.16</t>
  </si>
  <si>
    <t>◆  Anmeldung schriftlicher Teil (Portal)</t>
  </si>
  <si>
    <t>7.17</t>
  </si>
  <si>
    <t>Korrektur + Puffer (grüne Hinweise raus!)</t>
  </si>
  <si>
    <t>7.18</t>
  </si>
  <si>
    <t>◆  Endabgabe Portfolio</t>
  </si>
  <si>
    <t>Termine &amp; Quellen</t>
  </si>
  <si>
    <t>Projektpraktikum WS 26/27 · Dynamik Keltischer Wackelsteine · Kristijan &amp; Janosch</t>
  </si>
  <si>
    <t>Datum</t>
  </si>
  <si>
    <t>Tag</t>
  </si>
  <si>
    <t>KW</t>
  </si>
  <si>
    <t>Abgabe / Termin</t>
  </si>
  <si>
    <t>Art</t>
  </si>
  <si>
    <t>Quelle</t>
  </si>
  <si>
    <t>noch Tage</t>
  </si>
  <si>
    <t>Endgültige Wahl Schwerpunktthema</t>
  </si>
  <si>
    <t>Pflicht</t>
  </si>
  <si>
    <t>Moodle (Portfolio-PDF S. 4)</t>
  </si>
  <si>
    <t>Motivationsformular</t>
  </si>
  <si>
    <t>Arbeitsplan + Reflexion</t>
  </si>
  <si>
    <t>Wissenschaftliche Arbeit + Reflexion</t>
  </si>
  <si>
    <t>Protokoll eines Praktikumstages + Reflexion</t>
  </si>
  <si>
    <t>Messergebnis + Reflexion</t>
  </si>
  <si>
    <t>Anmeldung mündl. Prüfung (Hochschulportal)</t>
  </si>
  <si>
    <t>Pflicht?</t>
  </si>
  <si>
    <t>Plan Petros – im Portal prüfen!</t>
  </si>
  <si>
    <t>Vortragsfolien + Zusatzmaterial</t>
  </si>
  <si>
    <t>Vorträge Projektpraktikum (Prüfung, Anwesenheitspflicht)</t>
  </si>
  <si>
    <t>Moodle + Google Kalender</t>
  </si>
  <si>
    <t>Vortragsfolien + Kommentar + Reflexion</t>
  </si>
  <si>
    <t>empfohlen</t>
  </si>
  <si>
    <t>Aussage aus anderem Vortrag + Reflexion</t>
  </si>
  <si>
    <t>Anmeldung schriftl. Teil (Hochschulportal)</t>
  </si>
  <si>
    <t>Endabgabe Portfolio (verspätet = nicht bestanden)</t>
  </si>
  <si>
    <t>Praktikumstage (Google Kalender: Do 10–12 Uhr, O26/233 bzw. O26/234)</t>
  </si>
  <si>
    <t>↑ freie Zeilen für zusätzliche Termine</t>
  </si>
  <si>
    <t>bis</t>
  </si>
  <si>
    <t>kein Praktikumstermin im Kalender zwischen 17.12. und 14.01.</t>
  </si>
  <si>
    <t>So funktioniert der Plan</t>
  </si>
  <si>
    <t>•</t>
  </si>
  <si>
    <t>Wer: Dropdown in Spalte C (Arbeitsplan) → Balken färbt sich automatisch in der Personenfarbe.</t>
  </si>
  <si>
    <t>Namen ändern: Legende oben im Arbeitsplan (C2:D2) überschreiben – Dropdown und Farben ziehen mit.</t>
  </si>
  <si>
    <t>Farben ändern: Start → Bedingte Formatierung → Regeln verwalten → Regeln „=$C9=$C$2“ (Person 1) usw. bearbeiten.</t>
  </si>
  <si>
    <t>Termine verschieben: Start/Ende (Spalten D/E) ändern – Balken, Tage und Gruppen-Summen rechnen neu.</t>
  </si>
  <si>
    <t>Abgabedaten nur hier im Blatt Termine ändern – die ◆-Zeilen im Arbeitsplan verweisen hierher.</t>
  </si>
  <si>
    <t>Status: offen / läuft / erledigt. Gruppen zeigen den Fortschritt in %. Überfällige Aufgaben werden rot.</t>
  </si>
  <si>
    <t>Baum ein-/ausklappen: Gliederungsknöpfe 1–4 links oben bzw. +/– am Zeilenrand.</t>
  </si>
  <si>
    <t>Neue Aufgabe: ganze Zeile kopieren → „Kopierte Zellen einfügen“ innerhalb der Gruppe; Typ in Spalte H (ausgeblendet) A/M/G.</t>
  </si>
  <si>
    <t>Blaue Schrift = Eingabewerte.</t>
  </si>
  <si>
    <t>Video drehen (zum präsentieren)</t>
  </si>
  <si>
    <t>läuft</t>
  </si>
  <si>
    <t>Paper wählen</t>
  </si>
  <si>
    <t>Paper durcharbeiten</t>
  </si>
  <si>
    <t>Bewegungsgleichungen</t>
  </si>
  <si>
    <t>Körperparameter, Trägheitstensor und Trägheitsachsen aus STL</t>
  </si>
  <si>
    <t>Simulation Umkehrdynamik (numerisch) + Moden und Energiebilanz</t>
  </si>
  <si>
    <t>Sensor und Akku festlegen</t>
  </si>
  <si>
    <t>Firmware: auslesen + loggen/streamen</t>
  </si>
  <si>
    <t>Kalibrierung (Gyro-Bias, Achsen)</t>
  </si>
  <si>
    <t>CAD: Sensorfach, Masse ausbalancieren</t>
  </si>
  <si>
    <t>Laborjournal führen</t>
  </si>
  <si>
    <t>Messreihe 3: Spin-Umkehr, δ variiert</t>
  </si>
  <si>
    <t>Datenpipeline Python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</si>
</sst>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5" formatCode="dd\.mm\.yyyy"/>
    <numFmt numFmtId="166" formatCode="0;&quot;vorbei&quot;;&quot;heute&quot;"/>
    <numFmt numFmtId="167" formatCode="dd\.mm\.yy"/>
    <numFmt numFmtId="168" formatCode="dd\.mm\."/>
    <numFmt numFmtId="169" formatCode="&quot;bis &quot;dd\.mm\."/>
    <numFmt numFmtId="170" formatCode=";;;"/>
  </numFmts>
  <fonts count="21" x14ac:knownFonts="1">
    <font>
      <sz val="11"/>
      <color theme="1"/>
      <name val="Calibri"/>
      <family val="2"/>
      <scheme val="minor"/>
    </font>
    <font>
      <b/>
      <sz val="14"/>
      <color rgb="FF2B2F33"/>
      <name val="Arial"/>
      <family val="2"/>
    </font>
    <font>
      <sz val="9"/>
      <color rgb="FF8A847B"/>
      <name val="Arial"/>
      <family val="2"/>
    </font>
    <font>
      <b/>
      <sz val="9"/>
      <color rgb="FFFFFFFF"/>
      <name val="Arial"/>
      <family val="2"/>
    </font>
    <font>
      <sz val="9"/>
      <color rgb="FF2B2F33"/>
      <name val="Arial"/>
      <family val="2"/>
    </font>
    <font>
      <sz val="9"/>
      <color rgb="FF0000FF"/>
      <name val="Arial"/>
      <family val="2"/>
    </font>
    <font>
      <b/>
      <sz val="10"/>
      <color rgb="FF2B2F33"/>
      <name val="Arial"/>
      <family val="2"/>
    </font>
    <font>
      <i/>
      <sz val="9"/>
      <color rgb="FF8A847B"/>
      <name val="Arial"/>
      <family val="2"/>
    </font>
    <font>
      <b/>
      <sz val="15"/>
      <color rgb="FF2B2F33"/>
      <name val="Arial"/>
      <family val="2"/>
    </font>
    <font>
      <b/>
      <sz val="9"/>
      <color rgb="FF7A1F2B"/>
      <name val="Arial"/>
      <family val="2"/>
    </font>
    <font>
      <b/>
      <sz val="9"/>
      <color rgb="FF7F8A4F"/>
      <name val="Arial"/>
      <family val="2"/>
    </font>
    <font>
      <b/>
      <sz val="9"/>
      <color rgb="FF2B2F33"/>
      <name val="Arial"/>
      <family val="2"/>
    </font>
    <font>
      <sz val="8"/>
      <color rgb="FFFFFFFF"/>
      <name val="Arial"/>
      <family val="2"/>
    </font>
    <font>
      <sz val="8"/>
      <color rgb="FFE6E1D8"/>
      <name val="Arial"/>
      <family val="2"/>
    </font>
    <font>
      <sz val="9"/>
      <color rgb="FF7F8A4F"/>
      <name val="Arial"/>
      <family val="2"/>
    </font>
    <font>
      <b/>
      <sz val="10"/>
      <color rgb="FF8A847B"/>
      <name val="Arial"/>
      <family val="2"/>
    </font>
    <font>
      <sz val="8"/>
      <color rgb="FF2B2F33"/>
      <name val="Arial"/>
      <family val="2"/>
    </font>
    <font>
      <b/>
      <sz val="9"/>
      <color rgb="FF8A847B"/>
      <name val="Arial"/>
      <family val="2"/>
    </font>
    <font>
      <sz val="9"/>
      <color rgb="FF7A1F2B"/>
      <name val="Arial"/>
      <family val="2"/>
    </font>
    <font>
      <sz val="11"/>
      <color theme="1"/>
      <name val="Arial"/>
      <family val="2"/>
    </font>
    <font>
      <sz val="11"/>
      <color rgb="FF00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3B4045"/>
        <bgColor rgb="FF3B4045"/>
      </patternFill>
    </fill>
    <fill>
      <patternFill patternType="solid">
        <fgColor rgb="FF4E7489"/>
        <bgColor rgb="FF4E7489"/>
      </patternFill>
    </fill>
    <fill>
      <patternFill patternType="solid">
        <fgColor rgb="FFC47A3D"/>
        <bgColor rgb="FFC47A3D"/>
      </patternFill>
    </fill>
    <fill>
      <patternFill patternType="solid">
        <fgColor rgb="FF7F8A4F"/>
        <bgColor rgb="FF7F8A4F"/>
      </patternFill>
    </fill>
    <fill>
      <patternFill patternType="solid">
        <fgColor rgb="FFB4ADA3"/>
        <bgColor rgb="FFB4ADA3"/>
      </patternFill>
    </fill>
    <fill>
      <patternFill patternType="solid">
        <fgColor rgb="FFF2E6C6"/>
        <bgColor rgb="FFF2E6C6"/>
      </patternFill>
    </fill>
    <fill>
      <patternFill patternType="solid">
        <fgColor rgb="FFEBCFCF"/>
        <bgColor rgb="FFEBCFCF"/>
      </patternFill>
    </fill>
    <fill>
      <patternFill patternType="solid">
        <fgColor rgb="FF5A6168"/>
        <bgColor rgb="FF5A6168"/>
      </patternFill>
    </fill>
    <fill>
      <patternFill patternType="solid">
        <fgColor rgb="FFF7F4EE"/>
        <bgColor rgb="FFF7F4EE"/>
      </patternFill>
    </fill>
    <fill>
      <patternFill patternType="solid">
        <fgColor rgb="FFECE7DD"/>
        <bgColor rgb="FFECE7DD"/>
      </patternFill>
    </fill>
    <fill>
      <patternFill patternType="solid">
        <fgColor rgb="FFF4F1EA"/>
        <bgColor rgb="FFF4F1EA"/>
      </patternFill>
    </fill>
  </fills>
  <borders count="4">
    <border>
      <left/>
      <right/>
      <top/>
      <bottom/>
      <diagonal/>
    </border>
    <border>
      <left/>
      <right/>
      <top/>
      <bottom style="thin">
        <color rgb="FFE3DED4"/>
      </bottom>
      <diagonal/>
    </border>
    <border>
      <left style="thin">
        <color rgb="FF3B4045"/>
      </left>
      <right/>
      <top/>
      <bottom/>
      <diagonal/>
    </border>
    <border>
      <left style="thin">
        <color rgb="FFBDB6AA"/>
      </left>
      <right/>
      <top/>
      <bottom style="thin">
        <color rgb="FFE3DED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8" fillId="0" borderId="0" xfId="0" applyFont="1"/>
    <xf numFmtId="0" fontId="19" fillId="0" borderId="0" xfId="0" applyFont="1"/>
    <xf numFmtId="0" fontId="2" fillId="0" borderId="0" xfId="0" applyFont="1" applyAlignment="1">
      <alignment horizontal="right"/>
    </xf>
    <xf numFmtId="167" fontId="9" fillId="0" borderId="0" xfId="0" applyNumberFormat="1" applyFont="1"/>
    <xf numFmtId="0" fontId="2" fillId="0" borderId="0" xfId="0" applyFont="1" applyAlignment="1">
      <alignment horizontal="right" indent="1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9" fillId="0" borderId="0" xfId="0" applyFont="1" applyAlignment="1">
      <alignment horizontal="center"/>
    </xf>
    <xf numFmtId="0" fontId="2" fillId="0" borderId="0" xfId="0" applyFont="1"/>
    <xf numFmtId="0" fontId="10" fillId="0" borderId="0" xfId="0" applyFont="1" applyAlignment="1">
      <alignment horizontal="center"/>
    </xf>
    <xf numFmtId="0" fontId="11" fillId="7" borderId="0" xfId="0" applyFont="1" applyFill="1" applyAlignment="1">
      <alignment horizontal="center"/>
    </xf>
    <xf numFmtId="0" fontId="11" fillId="8" borderId="0" xfId="0" applyFont="1" applyFill="1" applyAlignment="1">
      <alignment horizontal="center"/>
    </xf>
    <xf numFmtId="0" fontId="11" fillId="2" borderId="0" xfId="0" applyFont="1" applyFill="1" applyAlignment="1">
      <alignment horizontal="center"/>
    </xf>
    <xf numFmtId="0" fontId="3" fillId="2" borderId="0" xfId="0" applyFont="1" applyFill="1" applyAlignment="1">
      <alignment horizontal="left" vertical="center" indent="1"/>
    </xf>
    <xf numFmtId="0" fontId="3" fillId="2" borderId="2" xfId="0" applyFont="1" applyFill="1" applyBorder="1" applyAlignment="1">
      <alignment horizontal="center" vertical="center"/>
    </xf>
    <xf numFmtId="168" fontId="12" fillId="9" borderId="2" xfId="0" applyNumberFormat="1" applyFont="1" applyFill="1" applyBorder="1" applyAlignment="1">
      <alignment horizontal="center" vertical="center"/>
    </xf>
    <xf numFmtId="169" fontId="13" fillId="9" borderId="2" xfId="0" applyNumberFormat="1" applyFont="1" applyFill="1" applyBorder="1" applyAlignment="1">
      <alignment horizontal="center" vertical="center"/>
    </xf>
    <xf numFmtId="0" fontId="19" fillId="10" borderId="1" xfId="0" applyFont="1" applyFill="1" applyBorder="1"/>
    <xf numFmtId="0" fontId="9" fillId="10" borderId="1" xfId="0" applyFont="1" applyFill="1" applyBorder="1"/>
    <xf numFmtId="0" fontId="9" fillId="10" borderId="3" xfId="0" applyFont="1" applyFill="1" applyBorder="1" applyAlignment="1">
      <alignment horizontal="center" vertical="center"/>
    </xf>
    <xf numFmtId="0" fontId="10" fillId="10" borderId="1" xfId="0" applyFont="1" applyFill="1" applyBorder="1"/>
    <xf numFmtId="0" fontId="14" fillId="10" borderId="3" xfId="0" applyFont="1" applyFill="1" applyBorder="1" applyAlignment="1">
      <alignment horizontal="center" vertical="center"/>
    </xf>
    <xf numFmtId="49" fontId="15" fillId="11" borderId="1" xfId="0" applyNumberFormat="1" applyFont="1" applyFill="1" applyBorder="1" applyAlignment="1">
      <alignment horizontal="left" vertical="center" indent="1"/>
    </xf>
    <xf numFmtId="0" fontId="6" fillId="11" borderId="1" xfId="0" applyFont="1" applyFill="1" applyBorder="1" applyAlignment="1">
      <alignment horizontal="left" vertical="center" indent="1"/>
    </xf>
    <xf numFmtId="0" fontId="6" fillId="11" borderId="1" xfId="0" applyFont="1" applyFill="1" applyBorder="1" applyAlignment="1">
      <alignment horizontal="center" vertical="center"/>
    </xf>
    <xf numFmtId="167" fontId="6" fillId="11" borderId="1" xfId="0" applyNumberFormat="1" applyFont="1" applyFill="1" applyBorder="1" applyAlignment="1">
      <alignment horizontal="center" vertical="center"/>
    </xf>
    <xf numFmtId="9" fontId="6" fillId="11" borderId="1" xfId="0" applyNumberFormat="1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left" vertical="center"/>
    </xf>
    <xf numFmtId="170" fontId="16" fillId="0" borderId="3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left" vertical="center" indent="1"/>
    </xf>
    <xf numFmtId="0" fontId="4" fillId="0" borderId="1" xfId="0" applyFont="1" applyBorder="1" applyAlignment="1">
      <alignment horizontal="left" vertical="center" indent="3"/>
    </xf>
    <xf numFmtId="0" fontId="4" fillId="0" borderId="1" xfId="0" applyFont="1" applyBorder="1" applyAlignment="1">
      <alignment horizontal="center" vertical="center"/>
    </xf>
    <xf numFmtId="167" fontId="5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49" fontId="17" fillId="12" borderId="1" xfId="0" applyNumberFormat="1" applyFont="1" applyFill="1" applyBorder="1" applyAlignment="1">
      <alignment horizontal="left" vertical="center" indent="1"/>
    </xf>
    <xf numFmtId="0" fontId="11" fillId="12" borderId="1" xfId="0" applyFont="1" applyFill="1" applyBorder="1" applyAlignment="1">
      <alignment horizontal="left" vertical="center" indent="3"/>
    </xf>
    <xf numFmtId="0" fontId="11" fillId="12" borderId="1" xfId="0" applyFont="1" applyFill="1" applyBorder="1" applyAlignment="1">
      <alignment horizontal="center" vertical="center"/>
    </xf>
    <xf numFmtId="167" fontId="11" fillId="12" borderId="1" xfId="0" applyNumberFormat="1" applyFont="1" applyFill="1" applyBorder="1" applyAlignment="1">
      <alignment horizontal="center" vertical="center"/>
    </xf>
    <xf numFmtId="9" fontId="11" fillId="12" borderId="1" xfId="0" applyNumberFormat="1" applyFont="1" applyFill="1" applyBorder="1" applyAlignment="1">
      <alignment horizontal="center" vertical="center"/>
    </xf>
    <xf numFmtId="0" fontId="11" fillId="12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 indent="5"/>
    </xf>
    <xf numFmtId="0" fontId="11" fillId="12" borderId="1" xfId="0" applyFont="1" applyFill="1" applyBorder="1" applyAlignment="1">
      <alignment horizontal="left" vertical="center" indent="5"/>
    </xf>
    <xf numFmtId="0" fontId="4" fillId="0" borderId="1" xfId="0" applyFont="1" applyBorder="1" applyAlignment="1">
      <alignment horizontal="left" vertical="center" indent="7"/>
    </xf>
    <xf numFmtId="0" fontId="18" fillId="0" borderId="1" xfId="0" applyFont="1" applyBorder="1" applyAlignment="1">
      <alignment horizontal="left" vertical="center" indent="3"/>
    </xf>
    <xf numFmtId="167" fontId="4" fillId="0" borderId="1" xfId="0" applyNumberFormat="1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" fillId="0" borderId="0" xfId="0" applyFont="1"/>
    <xf numFmtId="0" fontId="3" fillId="2" borderId="0" xfId="0" applyFont="1" applyFill="1"/>
    <xf numFmtId="165" fontId="5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 indent="1"/>
    </xf>
    <xf numFmtId="166" fontId="4" fillId="0" borderId="1" xfId="0" applyNumberFormat="1" applyFont="1" applyBorder="1" applyAlignment="1">
      <alignment vertical="center"/>
    </xf>
    <xf numFmtId="0" fontId="6" fillId="0" borderId="0" xfId="0" applyFont="1"/>
    <xf numFmtId="165" fontId="5" fillId="0" borderId="0" xfId="0" applyNumberFormat="1" applyFont="1"/>
    <xf numFmtId="0" fontId="4" fillId="0" borderId="0" xfId="0" applyFont="1"/>
    <xf numFmtId="0" fontId="7" fillId="0" borderId="0" xfId="0" applyFont="1"/>
    <xf numFmtId="0" fontId="3" fillId="2" borderId="0" xfId="0" applyFont="1" applyFill="1" applyAlignment="1">
      <alignment horizontal="center" vertical="center"/>
    </xf>
    <xf numFmtId="0" fontId="19" fillId="0" borderId="0" xfId="0" applyFont="1"/>
    <xf numFmtId="0" fontId="3" fillId="6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 indent="1"/>
    </xf>
  </cellXfs>
  <cellStyles count="1">
    <cellStyle name="Normal" xfId="0" builtinId="0"/>
  </cellStyles>
  <dxfs count="20">
    <dxf>
      <font>
        <b/>
        <color rgb="FF7A1F2B"/>
      </font>
      <fill>
        <patternFill patternType="solid">
          <fgColor rgb="FFEBCFCF"/>
          <bgColor rgb="FFEBCFCF"/>
        </patternFill>
      </fill>
    </dxf>
    <dxf>
      <font>
        <color rgb="FFB4ADA3"/>
      </font>
    </dxf>
    <dxf>
      <font>
        <color rgb="FFB4ADA3"/>
      </font>
    </dxf>
    <dxf>
      <fill>
        <patternFill patternType="solid">
          <fgColor rgb="FFB4ADA3"/>
          <bgColor rgb="FFB4ADA3"/>
        </patternFill>
      </fill>
    </dxf>
    <dxf>
      <fill>
        <patternFill patternType="solid">
          <fgColor rgb="FF7F8A4F"/>
          <bgColor rgb="FF7F8A4F"/>
        </patternFill>
      </fill>
    </dxf>
    <dxf>
      <fill>
        <patternFill patternType="solid">
          <fgColor rgb="FFC47A3D"/>
          <bgColor rgb="FFC47A3D"/>
        </patternFill>
      </fill>
    </dxf>
    <dxf>
      <fill>
        <patternFill patternType="solid">
          <fgColor rgb="FF4E7489"/>
          <bgColor rgb="FF4E7489"/>
        </patternFill>
      </fill>
    </dxf>
    <dxf>
      <fill>
        <patternFill patternType="solid">
          <fgColor rgb="FF3B4045"/>
          <bgColor rgb="FF3B4045"/>
        </patternFill>
      </fill>
    </dxf>
    <dxf>
      <font>
        <b/>
        <color rgb="FF7A1F2B"/>
      </font>
      <fill>
        <patternFill patternType="solid">
          <fgColor rgb="FFEBCFCF"/>
          <bgColor rgb="FFEBCFCF"/>
        </patternFill>
      </fill>
    </dxf>
    <dxf>
      <fill>
        <patternFill patternType="solid">
          <fgColor rgb="FFF2E6C6"/>
          <bgColor rgb="FFF2E6C6"/>
        </patternFill>
      </fill>
    </dxf>
    <dxf>
      <fill>
        <patternFill patternType="solid">
          <fgColor rgb="FFEBCFCF"/>
          <bgColor rgb="FFEBCFCF"/>
        </patternFill>
      </fill>
    </dxf>
    <dxf>
      <font>
        <b/>
        <color rgb="FFFFFFFF"/>
      </font>
      <fill>
        <patternFill patternType="solid">
          <fgColor rgb="FF7A1F2B"/>
          <bgColor rgb="FF7A1F2B"/>
        </patternFill>
      </fill>
    </dxf>
    <dxf>
      <fill>
        <patternFill patternType="solid">
          <fgColor rgb="FFF1DDB0"/>
          <bgColor rgb="FFF1DDB0"/>
        </patternFill>
      </fill>
    </dxf>
    <dxf>
      <font>
        <b/>
        <color rgb="FF7A1F2B"/>
      </font>
      <fill>
        <patternFill patternType="solid">
          <fgColor rgb="FFEBCFCF"/>
          <bgColor rgb="FFEBCFCF"/>
        </patternFill>
      </fill>
    </dxf>
    <dxf>
      <font>
        <b/>
        <color rgb="FF7F8A4F"/>
      </font>
      <fill>
        <patternFill patternType="solid">
          <fgColor rgb="FFD9DEC4"/>
          <bgColor rgb="FFD9DEC4"/>
        </patternFill>
      </fill>
    </dxf>
    <dxf>
      <font>
        <b/>
        <color rgb="FFFFFFFF"/>
      </font>
      <fill>
        <patternFill patternType="solid">
          <fgColor rgb="FFB4ADA3"/>
          <bgColor rgb="FFB4ADA3"/>
        </patternFill>
      </fill>
    </dxf>
    <dxf>
      <font>
        <b/>
        <color rgb="FFFFFFFF"/>
      </font>
      <fill>
        <patternFill patternType="solid">
          <fgColor rgb="FF7F8A4F"/>
          <bgColor rgb="FF7F8A4F"/>
        </patternFill>
      </fill>
    </dxf>
    <dxf>
      <font>
        <b/>
        <color rgb="FFFFFFFF"/>
      </font>
      <fill>
        <patternFill patternType="solid">
          <fgColor rgb="FFC47A3D"/>
          <bgColor rgb="FFC47A3D"/>
        </patternFill>
      </fill>
    </dxf>
    <dxf>
      <font>
        <b/>
        <color rgb="FFFFFFFF"/>
      </font>
      <fill>
        <patternFill patternType="solid">
          <fgColor rgb="FF4E7489"/>
          <bgColor rgb="FF4E7489"/>
        </patternFill>
      </fill>
    </dxf>
    <dxf>
      <font>
        <strike/>
        <color rgb="FFB4ADA3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AF85"/>
  <sheetViews>
    <sheetView showGridLines="0" tabSelected="1" workbookViewId="0">
      <pane xSplit="9" ySplit="8" topLeftCell="J9" activePane="bottomRight" state="frozen"/>
      <selection pane="topRight"/>
      <selection pane="bottomLeft"/>
      <selection pane="bottomRight" activeCell="D65" sqref="D65"/>
    </sheetView>
  </sheetViews>
  <sheetFormatPr baseColWidth="10" defaultColWidth="8.83203125" defaultRowHeight="15" outlineLevelRow="3" x14ac:dyDescent="0.2"/>
  <cols>
    <col min="1" max="1" width="7" customWidth="1"/>
    <col min="2" max="2" width="60.1640625" bestFit="1" customWidth="1"/>
    <col min="3" max="3" width="11" customWidth="1"/>
    <col min="4" max="5" width="9.5" customWidth="1"/>
    <col min="6" max="6" width="5.5" customWidth="1"/>
    <col min="7" max="7" width="9.5" customWidth="1"/>
    <col min="8" max="8" width="3" hidden="1" customWidth="1"/>
    <col min="9" max="9" width="8.83203125" customWidth="1"/>
    <col min="10" max="32" width="7.1640625" customWidth="1"/>
  </cols>
  <sheetData>
    <row r="1" spans="1:32" ht="26" customHeight="1" x14ac:dyDescent="0.2">
      <c r="A1" s="1" t="s">
        <v>0</v>
      </c>
      <c r="B1" s="2"/>
      <c r="C1" s="2"/>
      <c r="D1" s="2"/>
      <c r="E1" s="2"/>
      <c r="F1" s="3" t="s">
        <v>1</v>
      </c>
      <c r="G1" s="4">
        <f ca="1">TODAY()</f>
        <v>46317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spans="1:32" ht="18" customHeight="1" x14ac:dyDescent="0.2">
      <c r="A2" s="2"/>
      <c r="B2" s="5" t="s">
        <v>2</v>
      </c>
      <c r="C2" s="6" t="s">
        <v>3</v>
      </c>
      <c r="D2" s="7" t="s">
        <v>4</v>
      </c>
      <c r="E2" s="8" t="s">
        <v>5</v>
      </c>
      <c r="F2" s="60" t="s">
        <v>6</v>
      </c>
      <c r="G2" s="59"/>
      <c r="H2" s="2"/>
      <c r="I2" s="2"/>
      <c r="J2" s="9" t="s">
        <v>7</v>
      </c>
      <c r="K2" s="10" t="s">
        <v>8</v>
      </c>
      <c r="L2" s="2"/>
      <c r="M2" s="11" t="s">
        <v>9</v>
      </c>
      <c r="N2" s="10" t="s">
        <v>10</v>
      </c>
      <c r="O2" s="2"/>
      <c r="P2" s="12"/>
      <c r="Q2" s="10" t="s">
        <v>11</v>
      </c>
      <c r="R2" s="2"/>
      <c r="S2" s="13"/>
      <c r="T2" s="10" t="s">
        <v>12</v>
      </c>
      <c r="U2" s="2"/>
      <c r="V2" s="14"/>
      <c r="W2" s="10" t="s">
        <v>13</v>
      </c>
      <c r="X2" s="2"/>
      <c r="Y2" s="2"/>
      <c r="Z2" s="2"/>
      <c r="AA2" s="2"/>
      <c r="AB2" s="2"/>
      <c r="AC2" s="2"/>
      <c r="AD2" s="2"/>
      <c r="AE2" s="2"/>
      <c r="AF2" s="2"/>
    </row>
    <row r="3" spans="1:32" ht="15" customHeight="1" x14ac:dyDescent="0.2">
      <c r="A3" s="10" t="s">
        <v>14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spans="1:32" ht="18" customHeight="1" x14ac:dyDescent="0.2">
      <c r="A4" s="58" t="s">
        <v>15</v>
      </c>
      <c r="B4" s="61" t="s">
        <v>16</v>
      </c>
      <c r="C4" s="58" t="s">
        <v>17</v>
      </c>
      <c r="D4" s="58" t="s">
        <v>18</v>
      </c>
      <c r="E4" s="58" t="s">
        <v>19</v>
      </c>
      <c r="F4" s="58" t="s">
        <v>20</v>
      </c>
      <c r="G4" s="58" t="s">
        <v>21</v>
      </c>
      <c r="H4" s="58" t="s">
        <v>22</v>
      </c>
      <c r="I4" s="2"/>
      <c r="J4" s="16" t="s">
        <v>23</v>
      </c>
      <c r="K4" s="16" t="s">
        <v>24</v>
      </c>
      <c r="L4" s="16" t="s">
        <v>25</v>
      </c>
      <c r="M4" s="16" t="s">
        <v>26</v>
      </c>
      <c r="N4" s="16" t="s">
        <v>27</v>
      </c>
      <c r="O4" s="16" t="s">
        <v>28</v>
      </c>
      <c r="P4" s="16" t="s">
        <v>29</v>
      </c>
      <c r="Q4" s="16" t="s">
        <v>30</v>
      </c>
      <c r="R4" s="16" t="s">
        <v>31</v>
      </c>
      <c r="S4" s="16" t="s">
        <v>32</v>
      </c>
      <c r="T4" s="16" t="s">
        <v>33</v>
      </c>
      <c r="U4" s="16" t="s">
        <v>34</v>
      </c>
      <c r="V4" s="16" t="s">
        <v>35</v>
      </c>
      <c r="W4" s="16" t="s">
        <v>36</v>
      </c>
      <c r="X4" s="16" t="s">
        <v>37</v>
      </c>
      <c r="Y4" s="16" t="s">
        <v>38</v>
      </c>
      <c r="Z4" s="16" t="s">
        <v>39</v>
      </c>
      <c r="AA4" s="16" t="s">
        <v>40</v>
      </c>
      <c r="AB4" s="16" t="s">
        <v>41</v>
      </c>
      <c r="AC4" s="16" t="s">
        <v>42</v>
      </c>
      <c r="AD4" s="16" t="s">
        <v>43</v>
      </c>
      <c r="AE4" s="16" t="s">
        <v>44</v>
      </c>
      <c r="AF4" s="16" t="s">
        <v>45</v>
      </c>
    </row>
    <row r="5" spans="1:32" ht="14" customHeight="1" x14ac:dyDescent="0.2">
      <c r="A5" s="59"/>
      <c r="B5" s="59"/>
      <c r="C5" s="59"/>
      <c r="D5" s="59"/>
      <c r="E5" s="59"/>
      <c r="F5" s="59"/>
      <c r="G5" s="59"/>
      <c r="H5" s="59"/>
      <c r="I5" s="2"/>
      <c r="J5" s="17">
        <v>46307</v>
      </c>
      <c r="K5" s="17">
        <v>46314</v>
      </c>
      <c r="L5" s="17">
        <v>46321</v>
      </c>
      <c r="M5" s="17">
        <v>46328</v>
      </c>
      <c r="N5" s="17">
        <v>46335</v>
      </c>
      <c r="O5" s="17">
        <v>46342</v>
      </c>
      <c r="P5" s="17">
        <v>46349</v>
      </c>
      <c r="Q5" s="17">
        <v>46356</v>
      </c>
      <c r="R5" s="17">
        <v>46363</v>
      </c>
      <c r="S5" s="17">
        <v>46370</v>
      </c>
      <c r="T5" s="17">
        <v>46377</v>
      </c>
      <c r="U5" s="17">
        <v>46384</v>
      </c>
      <c r="V5" s="17">
        <v>46391</v>
      </c>
      <c r="W5" s="17">
        <v>46398</v>
      </c>
      <c r="X5" s="17">
        <v>46405</v>
      </c>
      <c r="Y5" s="17">
        <v>46412</v>
      </c>
      <c r="Z5" s="17">
        <v>46419</v>
      </c>
      <c r="AA5" s="17">
        <v>46426</v>
      </c>
      <c r="AB5" s="17">
        <v>46433</v>
      </c>
      <c r="AC5" s="17">
        <v>46440</v>
      </c>
      <c r="AD5" s="17">
        <v>46447</v>
      </c>
      <c r="AE5" s="17">
        <v>46454</v>
      </c>
      <c r="AF5" s="17">
        <v>46461</v>
      </c>
    </row>
    <row r="6" spans="1:32" ht="14" customHeight="1" x14ac:dyDescent="0.2">
      <c r="A6" s="59"/>
      <c r="B6" s="59"/>
      <c r="C6" s="59"/>
      <c r="D6" s="59"/>
      <c r="E6" s="59"/>
      <c r="F6" s="59"/>
      <c r="G6" s="59"/>
      <c r="H6" s="59"/>
      <c r="I6" s="2"/>
      <c r="J6" s="18">
        <f t="shared" ref="J6:AF6" si="0">J5+6</f>
        <v>46313</v>
      </c>
      <c r="K6" s="18">
        <f t="shared" si="0"/>
        <v>46320</v>
      </c>
      <c r="L6" s="18">
        <f t="shared" si="0"/>
        <v>46327</v>
      </c>
      <c r="M6" s="18">
        <f t="shared" si="0"/>
        <v>46334</v>
      </c>
      <c r="N6" s="18">
        <f t="shared" si="0"/>
        <v>46341</v>
      </c>
      <c r="O6" s="18">
        <f t="shared" si="0"/>
        <v>46348</v>
      </c>
      <c r="P6" s="18">
        <f t="shared" si="0"/>
        <v>46355</v>
      </c>
      <c r="Q6" s="18">
        <f t="shared" si="0"/>
        <v>46362</v>
      </c>
      <c r="R6" s="18">
        <f t="shared" si="0"/>
        <v>46369</v>
      </c>
      <c r="S6" s="18">
        <f t="shared" si="0"/>
        <v>46376</v>
      </c>
      <c r="T6" s="18">
        <f t="shared" si="0"/>
        <v>46383</v>
      </c>
      <c r="U6" s="18">
        <f t="shared" si="0"/>
        <v>46390</v>
      </c>
      <c r="V6" s="18">
        <f t="shared" si="0"/>
        <v>46397</v>
      </c>
      <c r="W6" s="18">
        <f t="shared" si="0"/>
        <v>46404</v>
      </c>
      <c r="X6" s="18">
        <f t="shared" si="0"/>
        <v>46411</v>
      </c>
      <c r="Y6" s="18">
        <f t="shared" si="0"/>
        <v>46418</v>
      </c>
      <c r="Z6" s="18">
        <f t="shared" si="0"/>
        <v>46425</v>
      </c>
      <c r="AA6" s="18">
        <f t="shared" si="0"/>
        <v>46432</v>
      </c>
      <c r="AB6" s="18">
        <f t="shared" si="0"/>
        <v>46439</v>
      </c>
      <c r="AC6" s="18">
        <f t="shared" si="0"/>
        <v>46446</v>
      </c>
      <c r="AD6" s="18">
        <f t="shared" si="0"/>
        <v>46453</v>
      </c>
      <c r="AE6" s="18">
        <f t="shared" si="0"/>
        <v>46460</v>
      </c>
      <c r="AF6" s="18">
        <f t="shared" si="0"/>
        <v>46467</v>
      </c>
    </row>
    <row r="7" spans="1:32" ht="16" customHeight="1" x14ac:dyDescent="0.2">
      <c r="A7" s="19"/>
      <c r="B7" s="20" t="s">
        <v>46</v>
      </c>
      <c r="C7" s="19"/>
      <c r="D7" s="19"/>
      <c r="E7" s="19"/>
      <c r="F7" s="19"/>
      <c r="G7" s="19"/>
      <c r="H7" s="19"/>
      <c r="I7" s="2"/>
      <c r="J7" s="21" t="str">
        <f>REPT("◆",COUNTIFS($D$9:$D$85,"&gt;="&amp;J$5,$D$9:$D$85,"&lt;="&amp;J$6,$H$9:$H$85,"M"))</f>
        <v>◆</v>
      </c>
      <c r="K7" s="21" t="str">
        <f>REPT("◆",COUNTIFS($D$9:$D$85,"&gt;="&amp;K$5,$D$9:$D$85,"&lt;="&amp;K$6,$H$9:$H$85,"M"))</f>
        <v>◆</v>
      </c>
      <c r="L7" s="21" t="str">
        <f>REPT("◆",COUNTIFS($D$9:$D$85,"&gt;="&amp;L$5,$D$9:$D$85,"&lt;="&amp;L$6,$H$9:$H$85,"M"))</f>
        <v>◆</v>
      </c>
      <c r="M7" s="21" t="str">
        <f>REPT("◆",COUNTIFS($D$9:$D$85,"&gt;="&amp;M$5,$D$9:$D$85,"&lt;="&amp;M$6,$H$9:$H$85,"M"))</f>
        <v/>
      </c>
      <c r="N7" s="21" t="str">
        <f>REPT("◆",COUNTIFS($D$9:$D$85,"&gt;="&amp;N$5,$D$9:$D$85,"&lt;="&amp;N$6,$H$9:$H$85,"M"))</f>
        <v>◆</v>
      </c>
      <c r="O7" s="21" t="str">
        <f>REPT("◆",COUNTIFS($D$9:$D$85,"&gt;="&amp;O$5,$D$9:$D$85,"&lt;="&amp;O$6,$H$9:$H$85,"M"))</f>
        <v/>
      </c>
      <c r="P7" s="21" t="str">
        <f>REPT("◆",COUNTIFS($D$9:$D$85,"&gt;="&amp;P$5,$D$9:$D$85,"&lt;="&amp;P$6,$H$9:$H$85,"M"))</f>
        <v/>
      </c>
      <c r="Q7" s="21" t="str">
        <f>REPT("◆",COUNTIFS($D$9:$D$85,"&gt;="&amp;Q$5,$D$9:$D$85,"&lt;="&amp;Q$6,$H$9:$H$85,"M"))</f>
        <v/>
      </c>
      <c r="R7" s="21" t="str">
        <f>REPT("◆",COUNTIFS($D$9:$D$85,"&gt;="&amp;R$5,$D$9:$D$85,"&lt;="&amp;R$6,$H$9:$H$85,"M"))</f>
        <v>◆</v>
      </c>
      <c r="S7" s="21" t="str">
        <f>REPT("◆",COUNTIFS($D$9:$D$85,"&gt;="&amp;S$5,$D$9:$D$85,"&lt;="&amp;S$6,$H$9:$H$85,"M"))</f>
        <v/>
      </c>
      <c r="T7" s="21" t="str">
        <f>REPT("◆",COUNTIFS($D$9:$D$85,"&gt;="&amp;T$5,$D$9:$D$85,"&lt;="&amp;T$6,$H$9:$H$85,"M"))</f>
        <v/>
      </c>
      <c r="U7" s="21" t="str">
        <f>REPT("◆",COUNTIFS($D$9:$D$85,"&gt;="&amp;U$5,$D$9:$D$85,"&lt;="&amp;U$6,$H$9:$H$85,"M"))</f>
        <v/>
      </c>
      <c r="V7" s="21" t="str">
        <f>REPT("◆",COUNTIFS($D$9:$D$85,"&gt;="&amp;V$5,$D$9:$D$85,"&lt;="&amp;V$6,$H$9:$H$85,"M"))</f>
        <v/>
      </c>
      <c r="W7" s="21" t="str">
        <f>REPT("◆",COUNTIFS($D$9:$D$85,"&gt;="&amp;W$5,$D$9:$D$85,"&lt;="&amp;W$6,$H$9:$H$85,"M"))</f>
        <v/>
      </c>
      <c r="X7" s="21" t="str">
        <f>REPT("◆",COUNTIFS($D$9:$D$85,"&gt;="&amp;X$5,$D$9:$D$85,"&lt;="&amp;X$6,$H$9:$H$85,"M"))</f>
        <v>◆◆</v>
      </c>
      <c r="Y7" s="21" t="str">
        <f>REPT("◆",COUNTIFS($D$9:$D$85,"&gt;="&amp;Y$5,$D$9:$D$85,"&lt;="&amp;Y$6,$H$9:$H$85,"M"))</f>
        <v>◆◆</v>
      </c>
      <c r="Z7" s="21" t="str">
        <f>REPT("◆",COUNTIFS($D$9:$D$85,"&gt;="&amp;Z$5,$D$9:$D$85,"&lt;="&amp;Z$6,$H$9:$H$85,"M"))</f>
        <v>◆</v>
      </c>
      <c r="AA7" s="21" t="str">
        <f>REPT("◆",COUNTIFS($D$9:$D$85,"&gt;="&amp;AA$5,$D$9:$D$85,"&lt;="&amp;AA$6,$H$9:$H$85,"M"))</f>
        <v/>
      </c>
      <c r="AB7" s="21" t="str">
        <f>REPT("◆",COUNTIFS($D$9:$D$85,"&gt;="&amp;AB$5,$D$9:$D$85,"&lt;="&amp;AB$6,$H$9:$H$85,"M"))</f>
        <v>◆</v>
      </c>
      <c r="AC7" s="21" t="str">
        <f>REPT("◆",COUNTIFS($D$9:$D$85,"&gt;="&amp;AC$5,$D$9:$D$85,"&lt;="&amp;AC$6,$H$9:$H$85,"M"))</f>
        <v/>
      </c>
      <c r="AD7" s="21" t="str">
        <f>REPT("◆",COUNTIFS($D$9:$D$85,"&gt;="&amp;AD$5,$D$9:$D$85,"&lt;="&amp;AD$6,$H$9:$H$85,"M"))</f>
        <v/>
      </c>
      <c r="AE7" s="21" t="str">
        <f>REPT("◆",COUNTIFS($D$9:$D$85,"&gt;="&amp;AE$5,$D$9:$D$85,"&lt;="&amp;AE$6,$H$9:$H$85,"M"))</f>
        <v>◆</v>
      </c>
      <c r="AF7" s="21" t="str">
        <f>REPT("◆",COUNTIFS($D$9:$D$85,"&gt;="&amp;AF$5,$D$9:$D$85,"&lt;="&amp;AF$6,$H$9:$H$85,"M"))</f>
        <v>◆</v>
      </c>
    </row>
    <row r="8" spans="1:32" ht="16" customHeight="1" x14ac:dyDescent="0.2">
      <c r="A8" s="19"/>
      <c r="B8" s="22" t="s">
        <v>47</v>
      </c>
      <c r="C8" s="19"/>
      <c r="D8" s="19"/>
      <c r="E8" s="19"/>
      <c r="F8" s="19"/>
      <c r="G8" s="19"/>
      <c r="H8" s="19"/>
      <c r="I8" s="2"/>
      <c r="J8" s="23" t="str">
        <f t="shared" ref="J8:AF8" si="1">IF(COUNTIFS(Labortage,"&gt;="&amp;J$5,Labortage,"&lt;="&amp;J$6)&gt;0,"●","")</f>
        <v>●</v>
      </c>
      <c r="K8" s="23" t="str">
        <f t="shared" si="1"/>
        <v>●</v>
      </c>
      <c r="L8" s="23" t="str">
        <f t="shared" si="1"/>
        <v>●</v>
      </c>
      <c r="M8" s="23" t="str">
        <f t="shared" si="1"/>
        <v>●</v>
      </c>
      <c r="N8" s="23" t="str">
        <f t="shared" si="1"/>
        <v>●</v>
      </c>
      <c r="O8" s="23" t="str">
        <f t="shared" si="1"/>
        <v>●</v>
      </c>
      <c r="P8" s="23" t="str">
        <f t="shared" si="1"/>
        <v>●</v>
      </c>
      <c r="Q8" s="23" t="str">
        <f t="shared" si="1"/>
        <v>●</v>
      </c>
      <c r="R8" s="23" t="str">
        <f t="shared" si="1"/>
        <v>●</v>
      </c>
      <c r="S8" s="23" t="str">
        <f t="shared" si="1"/>
        <v>●</v>
      </c>
      <c r="T8" s="23" t="str">
        <f t="shared" si="1"/>
        <v/>
      </c>
      <c r="U8" s="23" t="str">
        <f t="shared" si="1"/>
        <v/>
      </c>
      <c r="V8" s="23" t="str">
        <f t="shared" si="1"/>
        <v/>
      </c>
      <c r="W8" s="23" t="str">
        <f t="shared" si="1"/>
        <v>●</v>
      </c>
      <c r="X8" s="23" t="str">
        <f t="shared" si="1"/>
        <v>●</v>
      </c>
      <c r="Y8" s="23" t="str">
        <f t="shared" si="1"/>
        <v>●</v>
      </c>
      <c r="Z8" s="23" t="str">
        <f t="shared" si="1"/>
        <v>●</v>
      </c>
      <c r="AA8" s="23" t="str">
        <f t="shared" si="1"/>
        <v>●</v>
      </c>
      <c r="AB8" s="23" t="str">
        <f t="shared" si="1"/>
        <v/>
      </c>
      <c r="AC8" s="23" t="str">
        <f t="shared" si="1"/>
        <v/>
      </c>
      <c r="AD8" s="23" t="str">
        <f t="shared" si="1"/>
        <v/>
      </c>
      <c r="AE8" s="23" t="str">
        <f t="shared" si="1"/>
        <v/>
      </c>
      <c r="AF8" s="23" t="str">
        <f t="shared" si="1"/>
        <v/>
      </c>
    </row>
    <row r="9" spans="1:32" ht="20" customHeight="1" x14ac:dyDescent="0.2">
      <c r="A9" s="24" t="s">
        <v>48</v>
      </c>
      <c r="B9" s="25" t="s">
        <v>49</v>
      </c>
      <c r="C9" s="26"/>
      <c r="D9" s="27">
        <f>MIN(D10:D16)</f>
        <v>46310</v>
      </c>
      <c r="E9" s="27">
        <f>MAX(E10:E16)</f>
        <v>46373</v>
      </c>
      <c r="F9" s="26">
        <f t="shared" ref="F9:F39" si="2">IF(H9="M","",E9-D9+1)</f>
        <v>64</v>
      </c>
      <c r="G9" s="28">
        <f>IFERROR(COUNTIFS(G10:G16,"erledigt",H10:H16,"&lt;&gt;G")/COUNTIFS(H10:H16,"&lt;&gt;G"),0)</f>
        <v>0</v>
      </c>
      <c r="H9" s="29" t="s">
        <v>50</v>
      </c>
      <c r="I9" s="2"/>
      <c r="J9" s="30">
        <f t="shared" ref="J9:S18" si="3">IF(AND($D9&lt;=J$6,$E9&gt;=J$5),1,"")</f>
        <v>1</v>
      </c>
      <c r="K9" s="30">
        <f t="shared" si="3"/>
        <v>1</v>
      </c>
      <c r="L9" s="30">
        <f t="shared" si="3"/>
        <v>1</v>
      </c>
      <c r="M9" s="30">
        <f t="shared" si="3"/>
        <v>1</v>
      </c>
      <c r="N9" s="30">
        <f t="shared" si="3"/>
        <v>1</v>
      </c>
      <c r="O9" s="30">
        <f t="shared" si="3"/>
        <v>1</v>
      </c>
      <c r="P9" s="30">
        <f t="shared" si="3"/>
        <v>1</v>
      </c>
      <c r="Q9" s="30">
        <f t="shared" si="3"/>
        <v>1</v>
      </c>
      <c r="R9" s="30">
        <f t="shared" si="3"/>
        <v>1</v>
      </c>
      <c r="S9" s="30">
        <f t="shared" si="3"/>
        <v>1</v>
      </c>
      <c r="T9" s="30" t="str">
        <f t="shared" ref="T9:AF18" si="4">IF(AND($D9&lt;=T$6,$E9&gt;=T$5),1,"")</f>
        <v/>
      </c>
      <c r="U9" s="30" t="str">
        <f t="shared" si="4"/>
        <v/>
      </c>
      <c r="V9" s="30" t="str">
        <f t="shared" si="4"/>
        <v/>
      </c>
      <c r="W9" s="30" t="str">
        <f t="shared" si="4"/>
        <v/>
      </c>
      <c r="X9" s="30" t="str">
        <f t="shared" si="4"/>
        <v/>
      </c>
      <c r="Y9" s="30" t="str">
        <f t="shared" si="4"/>
        <v/>
      </c>
      <c r="Z9" s="30" t="str">
        <f t="shared" si="4"/>
        <v/>
      </c>
      <c r="AA9" s="30" t="str">
        <f t="shared" si="4"/>
        <v/>
      </c>
      <c r="AB9" s="30" t="str">
        <f t="shared" si="4"/>
        <v/>
      </c>
      <c r="AC9" s="30" t="str">
        <f t="shared" si="4"/>
        <v/>
      </c>
      <c r="AD9" s="30" t="str">
        <f t="shared" si="4"/>
        <v/>
      </c>
      <c r="AE9" s="30" t="str">
        <f t="shared" si="4"/>
        <v/>
      </c>
      <c r="AF9" s="30" t="str">
        <f t="shared" si="4"/>
        <v/>
      </c>
    </row>
    <row r="10" spans="1:32" ht="17" customHeight="1" outlineLevel="1" x14ac:dyDescent="0.2">
      <c r="A10" s="31" t="s">
        <v>51</v>
      </c>
      <c r="B10" s="32" t="s">
        <v>52</v>
      </c>
      <c r="C10" s="33" t="s">
        <v>5</v>
      </c>
      <c r="D10" s="34">
        <v>46310</v>
      </c>
      <c r="E10" s="34">
        <v>46330</v>
      </c>
      <c r="F10" s="33">
        <f t="shared" si="2"/>
        <v>21</v>
      </c>
      <c r="G10" s="33" t="s">
        <v>6</v>
      </c>
      <c r="H10" s="35" t="s">
        <v>53</v>
      </c>
      <c r="I10" s="2"/>
      <c r="J10" s="30">
        <f t="shared" si="3"/>
        <v>1</v>
      </c>
      <c r="K10" s="30">
        <f t="shared" si="3"/>
        <v>1</v>
      </c>
      <c r="L10" s="30">
        <f t="shared" si="3"/>
        <v>1</v>
      </c>
      <c r="M10" s="30">
        <f t="shared" si="3"/>
        <v>1</v>
      </c>
      <c r="N10" s="30" t="str">
        <f t="shared" si="3"/>
        <v/>
      </c>
      <c r="O10" s="30" t="str">
        <f t="shared" si="3"/>
        <v/>
      </c>
      <c r="P10" s="30" t="str">
        <f t="shared" si="3"/>
        <v/>
      </c>
      <c r="Q10" s="30" t="str">
        <f t="shared" si="3"/>
        <v/>
      </c>
      <c r="R10" s="30" t="str">
        <f t="shared" si="3"/>
        <v/>
      </c>
      <c r="S10" s="30" t="str">
        <f t="shared" si="3"/>
        <v/>
      </c>
      <c r="T10" s="30" t="str">
        <f t="shared" si="4"/>
        <v/>
      </c>
      <c r="U10" s="30" t="str">
        <f t="shared" si="4"/>
        <v/>
      </c>
      <c r="V10" s="30" t="str">
        <f t="shared" si="4"/>
        <v/>
      </c>
      <c r="W10" s="30" t="str">
        <f t="shared" si="4"/>
        <v/>
      </c>
      <c r="X10" s="30" t="str">
        <f t="shared" si="4"/>
        <v/>
      </c>
      <c r="Y10" s="30" t="str">
        <f t="shared" si="4"/>
        <v/>
      </c>
      <c r="Z10" s="30" t="str">
        <f t="shared" si="4"/>
        <v/>
      </c>
      <c r="AA10" s="30" t="str">
        <f t="shared" si="4"/>
        <v/>
      </c>
      <c r="AB10" s="30" t="str">
        <f t="shared" si="4"/>
        <v/>
      </c>
      <c r="AC10" s="30" t="str">
        <f t="shared" si="4"/>
        <v/>
      </c>
      <c r="AD10" s="30" t="str">
        <f t="shared" si="4"/>
        <v/>
      </c>
      <c r="AE10" s="30" t="str">
        <f t="shared" si="4"/>
        <v/>
      </c>
      <c r="AF10" s="30" t="str">
        <f t="shared" si="4"/>
        <v/>
      </c>
    </row>
    <row r="11" spans="1:32" ht="17" customHeight="1" outlineLevel="1" x14ac:dyDescent="0.2">
      <c r="A11" s="31" t="s">
        <v>54</v>
      </c>
      <c r="B11" s="32" t="s">
        <v>237</v>
      </c>
      <c r="C11" s="33" t="s">
        <v>5</v>
      </c>
      <c r="D11" s="34">
        <v>46324</v>
      </c>
      <c r="E11" s="34">
        <v>46330</v>
      </c>
      <c r="F11" s="33">
        <f t="shared" si="2"/>
        <v>7</v>
      </c>
      <c r="G11" s="33" t="s">
        <v>6</v>
      </c>
      <c r="H11" s="35" t="s">
        <v>53</v>
      </c>
      <c r="I11" s="2"/>
      <c r="J11" s="30" t="str">
        <f t="shared" si="3"/>
        <v/>
      </c>
      <c r="K11" s="30" t="str">
        <f t="shared" si="3"/>
        <v/>
      </c>
      <c r="L11" s="30">
        <f t="shared" si="3"/>
        <v>1</v>
      </c>
      <c r="M11" s="30">
        <f t="shared" si="3"/>
        <v>1</v>
      </c>
      <c r="N11" s="30" t="str">
        <f t="shared" si="3"/>
        <v/>
      </c>
      <c r="O11" s="30" t="str">
        <f t="shared" si="3"/>
        <v/>
      </c>
      <c r="P11" s="30" t="str">
        <f t="shared" si="3"/>
        <v/>
      </c>
      <c r="Q11" s="30" t="str">
        <f t="shared" si="3"/>
        <v/>
      </c>
      <c r="R11" s="30" t="str">
        <f t="shared" si="3"/>
        <v/>
      </c>
      <c r="S11" s="30" t="str">
        <f t="shared" si="3"/>
        <v/>
      </c>
      <c r="T11" s="30" t="str">
        <f t="shared" si="4"/>
        <v/>
      </c>
      <c r="U11" s="30" t="str">
        <f t="shared" si="4"/>
        <v/>
      </c>
      <c r="V11" s="30" t="str">
        <f t="shared" si="4"/>
        <v/>
      </c>
      <c r="W11" s="30" t="str">
        <f t="shared" si="4"/>
        <v/>
      </c>
      <c r="X11" s="30" t="str">
        <f t="shared" si="4"/>
        <v/>
      </c>
      <c r="Y11" s="30" t="str">
        <f t="shared" si="4"/>
        <v/>
      </c>
      <c r="Z11" s="30" t="str">
        <f t="shared" si="4"/>
        <v/>
      </c>
      <c r="AA11" s="30" t="str">
        <f t="shared" si="4"/>
        <v/>
      </c>
      <c r="AB11" s="30" t="str">
        <f t="shared" si="4"/>
        <v/>
      </c>
      <c r="AC11" s="30" t="str">
        <f t="shared" si="4"/>
        <v/>
      </c>
      <c r="AD11" s="30" t="str">
        <f t="shared" si="4"/>
        <v/>
      </c>
      <c r="AE11" s="30" t="str">
        <f t="shared" si="4"/>
        <v/>
      </c>
      <c r="AF11" s="30" t="str">
        <f t="shared" si="4"/>
        <v/>
      </c>
    </row>
    <row r="12" spans="1:32" ht="17" customHeight="1" outlineLevel="1" x14ac:dyDescent="0.2">
      <c r="A12" s="31" t="s">
        <v>55</v>
      </c>
      <c r="B12" s="32" t="s">
        <v>238</v>
      </c>
      <c r="C12" s="33" t="s">
        <v>5</v>
      </c>
      <c r="D12" s="34">
        <v>46331</v>
      </c>
      <c r="E12" s="34">
        <v>46336</v>
      </c>
      <c r="F12" s="33">
        <f t="shared" si="2"/>
        <v>6</v>
      </c>
      <c r="G12" s="33" t="s">
        <v>6</v>
      </c>
      <c r="H12" s="35" t="s">
        <v>53</v>
      </c>
      <c r="I12" s="2"/>
      <c r="J12" s="30" t="str">
        <f t="shared" si="3"/>
        <v/>
      </c>
      <c r="K12" s="30" t="str">
        <f t="shared" si="3"/>
        <v/>
      </c>
      <c r="L12" s="30" t="str">
        <f t="shared" si="3"/>
        <v/>
      </c>
      <c r="M12" s="30">
        <f t="shared" si="3"/>
        <v>1</v>
      </c>
      <c r="N12" s="30">
        <f t="shared" si="3"/>
        <v>1</v>
      </c>
      <c r="O12" s="30" t="str">
        <f t="shared" si="3"/>
        <v/>
      </c>
      <c r="P12" s="30" t="str">
        <f t="shared" si="3"/>
        <v/>
      </c>
      <c r="Q12" s="30" t="str">
        <f t="shared" si="3"/>
        <v/>
      </c>
      <c r="R12" s="30" t="str">
        <f t="shared" si="3"/>
        <v/>
      </c>
      <c r="S12" s="30" t="str">
        <f t="shared" si="3"/>
        <v/>
      </c>
      <c r="T12" s="30" t="str">
        <f t="shared" si="4"/>
        <v/>
      </c>
      <c r="U12" s="30" t="str">
        <f t="shared" si="4"/>
        <v/>
      </c>
      <c r="V12" s="30" t="str">
        <f t="shared" si="4"/>
        <v/>
      </c>
      <c r="W12" s="30" t="str">
        <f t="shared" si="4"/>
        <v/>
      </c>
      <c r="X12" s="30" t="str">
        <f t="shared" si="4"/>
        <v/>
      </c>
      <c r="Y12" s="30" t="str">
        <f t="shared" si="4"/>
        <v/>
      </c>
      <c r="Z12" s="30" t="str">
        <f t="shared" si="4"/>
        <v/>
      </c>
      <c r="AA12" s="30" t="str">
        <f t="shared" si="4"/>
        <v/>
      </c>
      <c r="AB12" s="30" t="str">
        <f t="shared" si="4"/>
        <v/>
      </c>
      <c r="AC12" s="30" t="str">
        <f t="shared" si="4"/>
        <v/>
      </c>
      <c r="AD12" s="30" t="str">
        <f t="shared" si="4"/>
        <v/>
      </c>
      <c r="AE12" s="30" t="str">
        <f t="shared" si="4"/>
        <v/>
      </c>
      <c r="AF12" s="30" t="str">
        <f t="shared" si="4"/>
        <v/>
      </c>
    </row>
    <row r="13" spans="1:32" ht="17" customHeight="1" outlineLevel="1" x14ac:dyDescent="0.2">
      <c r="A13" s="31" t="s">
        <v>56</v>
      </c>
      <c r="B13" s="32" t="s">
        <v>239</v>
      </c>
      <c r="C13" s="33" t="s">
        <v>3</v>
      </c>
      <c r="D13" s="34">
        <v>46324</v>
      </c>
      <c r="E13" s="34">
        <v>46351</v>
      </c>
      <c r="F13" s="33">
        <f t="shared" si="2"/>
        <v>28</v>
      </c>
      <c r="G13" s="33" t="s">
        <v>6</v>
      </c>
      <c r="H13" s="35" t="s">
        <v>53</v>
      </c>
      <c r="I13" s="2"/>
      <c r="J13" s="30" t="str">
        <f t="shared" si="3"/>
        <v/>
      </c>
      <c r="K13" s="30" t="str">
        <f t="shared" si="3"/>
        <v/>
      </c>
      <c r="L13" s="30">
        <f t="shared" si="3"/>
        <v>1</v>
      </c>
      <c r="M13" s="30">
        <f t="shared" si="3"/>
        <v>1</v>
      </c>
      <c r="N13" s="30">
        <f t="shared" si="3"/>
        <v>1</v>
      </c>
      <c r="O13" s="30">
        <f t="shared" si="3"/>
        <v>1</v>
      </c>
      <c r="P13" s="30">
        <f t="shared" si="3"/>
        <v>1</v>
      </c>
      <c r="Q13" s="30" t="str">
        <f t="shared" si="3"/>
        <v/>
      </c>
      <c r="R13" s="30" t="str">
        <f t="shared" si="3"/>
        <v/>
      </c>
      <c r="S13" s="30" t="str">
        <f t="shared" si="3"/>
        <v/>
      </c>
      <c r="T13" s="30" t="str">
        <f t="shared" si="4"/>
        <v/>
      </c>
      <c r="U13" s="30" t="str">
        <f t="shared" si="4"/>
        <v/>
      </c>
      <c r="V13" s="30" t="str">
        <f t="shared" si="4"/>
        <v/>
      </c>
      <c r="W13" s="30" t="str">
        <f t="shared" si="4"/>
        <v/>
      </c>
      <c r="X13" s="30" t="str">
        <f t="shared" si="4"/>
        <v/>
      </c>
      <c r="Y13" s="30" t="str">
        <f t="shared" si="4"/>
        <v/>
      </c>
      <c r="Z13" s="30" t="str">
        <f t="shared" si="4"/>
        <v/>
      </c>
      <c r="AA13" s="30" t="str">
        <f t="shared" si="4"/>
        <v/>
      </c>
      <c r="AB13" s="30" t="str">
        <f t="shared" si="4"/>
        <v/>
      </c>
      <c r="AC13" s="30" t="str">
        <f t="shared" si="4"/>
        <v/>
      </c>
      <c r="AD13" s="30" t="str">
        <f t="shared" si="4"/>
        <v/>
      </c>
      <c r="AE13" s="30" t="str">
        <f t="shared" si="4"/>
        <v/>
      </c>
      <c r="AF13" s="30" t="str">
        <f t="shared" si="4"/>
        <v/>
      </c>
    </row>
    <row r="14" spans="1:32" ht="17" customHeight="1" outlineLevel="1" x14ac:dyDescent="0.2">
      <c r="A14" s="31" t="s">
        <v>57</v>
      </c>
      <c r="B14" s="32" t="s">
        <v>240</v>
      </c>
      <c r="C14" s="33" t="s">
        <v>4</v>
      </c>
      <c r="D14" s="34">
        <v>46324</v>
      </c>
      <c r="E14" s="34">
        <v>46351</v>
      </c>
      <c r="F14" s="33">
        <f t="shared" si="2"/>
        <v>28</v>
      </c>
      <c r="G14" s="33" t="s">
        <v>6</v>
      </c>
      <c r="H14" s="35" t="s">
        <v>53</v>
      </c>
      <c r="I14" s="2"/>
      <c r="J14" s="30" t="str">
        <f t="shared" si="3"/>
        <v/>
      </c>
      <c r="K14" s="30" t="str">
        <f t="shared" si="3"/>
        <v/>
      </c>
      <c r="L14" s="30">
        <f t="shared" si="3"/>
        <v>1</v>
      </c>
      <c r="M14" s="30">
        <f t="shared" si="3"/>
        <v>1</v>
      </c>
      <c r="N14" s="30">
        <f t="shared" si="3"/>
        <v>1</v>
      </c>
      <c r="O14" s="30">
        <f t="shared" si="3"/>
        <v>1</v>
      </c>
      <c r="P14" s="30">
        <f t="shared" si="3"/>
        <v>1</v>
      </c>
      <c r="Q14" s="30" t="str">
        <f t="shared" si="3"/>
        <v/>
      </c>
      <c r="R14" s="30" t="str">
        <f t="shared" si="3"/>
        <v/>
      </c>
      <c r="S14" s="30" t="str">
        <f t="shared" si="3"/>
        <v/>
      </c>
      <c r="T14" s="30" t="str">
        <f t="shared" si="4"/>
        <v/>
      </c>
      <c r="U14" s="30" t="str">
        <f t="shared" si="4"/>
        <v/>
      </c>
      <c r="V14" s="30" t="str">
        <f t="shared" si="4"/>
        <v/>
      </c>
      <c r="W14" s="30" t="str">
        <f t="shared" si="4"/>
        <v/>
      </c>
      <c r="X14" s="30" t="str">
        <f t="shared" si="4"/>
        <v/>
      </c>
      <c r="Y14" s="30" t="str">
        <f t="shared" si="4"/>
        <v/>
      </c>
      <c r="Z14" s="30" t="str">
        <f t="shared" si="4"/>
        <v/>
      </c>
      <c r="AA14" s="30" t="str">
        <f t="shared" si="4"/>
        <v/>
      </c>
      <c r="AB14" s="30" t="str">
        <f t="shared" si="4"/>
        <v/>
      </c>
      <c r="AC14" s="30" t="str">
        <f t="shared" si="4"/>
        <v/>
      </c>
      <c r="AD14" s="30" t="str">
        <f t="shared" si="4"/>
        <v/>
      </c>
      <c r="AE14" s="30" t="str">
        <f t="shared" si="4"/>
        <v/>
      </c>
      <c r="AF14" s="30" t="str">
        <f t="shared" si="4"/>
        <v/>
      </c>
    </row>
    <row r="15" spans="1:32" ht="17" customHeight="1" outlineLevel="1" x14ac:dyDescent="0.2">
      <c r="A15" s="31" t="s">
        <v>58</v>
      </c>
      <c r="B15" s="32" t="s">
        <v>241</v>
      </c>
      <c r="C15" s="33" t="s">
        <v>3</v>
      </c>
      <c r="D15" s="34">
        <v>46345</v>
      </c>
      <c r="E15" s="34">
        <v>46373</v>
      </c>
      <c r="F15" s="33">
        <f t="shared" si="2"/>
        <v>29</v>
      </c>
      <c r="G15" s="33" t="s">
        <v>6</v>
      </c>
      <c r="H15" s="35" t="s">
        <v>53</v>
      </c>
      <c r="I15" s="2"/>
      <c r="J15" s="30" t="str">
        <f t="shared" si="3"/>
        <v/>
      </c>
      <c r="K15" s="30" t="str">
        <f t="shared" si="3"/>
        <v/>
      </c>
      <c r="L15" s="30" t="str">
        <f t="shared" si="3"/>
        <v/>
      </c>
      <c r="M15" s="30" t="str">
        <f t="shared" si="3"/>
        <v/>
      </c>
      <c r="N15" s="30" t="str">
        <f t="shared" si="3"/>
        <v/>
      </c>
      <c r="O15" s="30">
        <f t="shared" si="3"/>
        <v>1</v>
      </c>
      <c r="P15" s="30">
        <f t="shared" si="3"/>
        <v>1</v>
      </c>
      <c r="Q15" s="30">
        <f t="shared" si="3"/>
        <v>1</v>
      </c>
      <c r="R15" s="30">
        <f t="shared" si="3"/>
        <v>1</v>
      </c>
      <c r="S15" s="30">
        <f t="shared" si="3"/>
        <v>1</v>
      </c>
      <c r="T15" s="30" t="str">
        <f t="shared" si="4"/>
        <v/>
      </c>
      <c r="U15" s="30" t="str">
        <f t="shared" si="4"/>
        <v/>
      </c>
      <c r="V15" s="30" t="str">
        <f t="shared" si="4"/>
        <v/>
      </c>
      <c r="W15" s="30" t="str">
        <f t="shared" si="4"/>
        <v/>
      </c>
      <c r="X15" s="30" t="str">
        <f t="shared" si="4"/>
        <v/>
      </c>
      <c r="Y15" s="30" t="str">
        <f t="shared" si="4"/>
        <v/>
      </c>
      <c r="Z15" s="30" t="str">
        <f t="shared" si="4"/>
        <v/>
      </c>
      <c r="AA15" s="30" t="str">
        <f t="shared" si="4"/>
        <v/>
      </c>
      <c r="AB15" s="30" t="str">
        <f t="shared" si="4"/>
        <v/>
      </c>
      <c r="AC15" s="30" t="str">
        <f t="shared" si="4"/>
        <v/>
      </c>
      <c r="AD15" s="30" t="str">
        <f t="shared" si="4"/>
        <v/>
      </c>
      <c r="AE15" s="30" t="str">
        <f t="shared" si="4"/>
        <v/>
      </c>
      <c r="AF15" s="30" t="str">
        <f t="shared" si="4"/>
        <v/>
      </c>
    </row>
    <row r="16" spans="1:32" ht="17" customHeight="1" outlineLevel="1" x14ac:dyDescent="0.2">
      <c r="A16" s="31" t="s">
        <v>59</v>
      </c>
      <c r="B16" s="32" t="s">
        <v>60</v>
      </c>
      <c r="C16" s="33" t="s">
        <v>4</v>
      </c>
      <c r="D16" s="34">
        <v>46345</v>
      </c>
      <c r="E16" s="34">
        <v>46373</v>
      </c>
      <c r="F16" s="33">
        <f t="shared" si="2"/>
        <v>29</v>
      </c>
      <c r="G16" s="33" t="s">
        <v>6</v>
      </c>
      <c r="H16" s="35" t="s">
        <v>53</v>
      </c>
      <c r="I16" s="2"/>
      <c r="J16" s="30" t="str">
        <f t="shared" si="3"/>
        <v/>
      </c>
      <c r="K16" s="30" t="str">
        <f t="shared" si="3"/>
        <v/>
      </c>
      <c r="L16" s="30" t="str">
        <f t="shared" si="3"/>
        <v/>
      </c>
      <c r="M16" s="30" t="str">
        <f t="shared" si="3"/>
        <v/>
      </c>
      <c r="N16" s="30" t="str">
        <f t="shared" si="3"/>
        <v/>
      </c>
      <c r="O16" s="30">
        <f t="shared" si="3"/>
        <v>1</v>
      </c>
      <c r="P16" s="30">
        <f t="shared" si="3"/>
        <v>1</v>
      </c>
      <c r="Q16" s="30">
        <f t="shared" si="3"/>
        <v>1</v>
      </c>
      <c r="R16" s="30">
        <f t="shared" si="3"/>
        <v>1</v>
      </c>
      <c r="S16" s="30">
        <f t="shared" si="3"/>
        <v>1</v>
      </c>
      <c r="T16" s="30" t="str">
        <f t="shared" si="4"/>
        <v/>
      </c>
      <c r="U16" s="30" t="str">
        <f t="shared" si="4"/>
        <v/>
      </c>
      <c r="V16" s="30" t="str">
        <f t="shared" si="4"/>
        <v/>
      </c>
      <c r="W16" s="30" t="str">
        <f t="shared" si="4"/>
        <v/>
      </c>
      <c r="X16" s="30" t="str">
        <f t="shared" si="4"/>
        <v/>
      </c>
      <c r="Y16" s="30" t="str">
        <f t="shared" si="4"/>
        <v/>
      </c>
      <c r="Z16" s="30" t="str">
        <f t="shared" si="4"/>
        <v/>
      </c>
      <c r="AA16" s="30" t="str">
        <f t="shared" si="4"/>
        <v/>
      </c>
      <c r="AB16" s="30" t="str">
        <f t="shared" si="4"/>
        <v/>
      </c>
      <c r="AC16" s="30" t="str">
        <f t="shared" si="4"/>
        <v/>
      </c>
      <c r="AD16" s="30" t="str">
        <f t="shared" si="4"/>
        <v/>
      </c>
      <c r="AE16" s="30" t="str">
        <f t="shared" si="4"/>
        <v/>
      </c>
      <c r="AF16" s="30" t="str">
        <f t="shared" si="4"/>
        <v/>
      </c>
    </row>
    <row r="17" spans="1:32" ht="20" customHeight="1" x14ac:dyDescent="0.2">
      <c r="A17" s="24" t="s">
        <v>61</v>
      </c>
      <c r="B17" s="25" t="s">
        <v>62</v>
      </c>
      <c r="C17" s="26"/>
      <c r="D17" s="27">
        <f>MIN(D18:D39)</f>
        <v>46307</v>
      </c>
      <c r="E17" s="27">
        <f>MAX(E18:E39)</f>
        <v>46352</v>
      </c>
      <c r="F17" s="26">
        <f t="shared" si="2"/>
        <v>46</v>
      </c>
      <c r="G17" s="28">
        <f>IFERROR(COUNTIFS(G18:G39,"erledigt",H18:H39,"&lt;&gt;G")/COUNTIFS(H18:H39,"&lt;&gt;G"),0)</f>
        <v>0</v>
      </c>
      <c r="H17" s="29" t="s">
        <v>50</v>
      </c>
      <c r="I17" s="2"/>
      <c r="J17" s="30">
        <f t="shared" si="3"/>
        <v>1</v>
      </c>
      <c r="K17" s="30">
        <f t="shared" si="3"/>
        <v>1</v>
      </c>
      <c r="L17" s="30">
        <f t="shared" si="3"/>
        <v>1</v>
      </c>
      <c r="M17" s="30">
        <f t="shared" si="3"/>
        <v>1</v>
      </c>
      <c r="N17" s="30">
        <f t="shared" si="3"/>
        <v>1</v>
      </c>
      <c r="O17" s="30">
        <f t="shared" si="3"/>
        <v>1</v>
      </c>
      <c r="P17" s="30">
        <f t="shared" si="3"/>
        <v>1</v>
      </c>
      <c r="Q17" s="30" t="str">
        <f t="shared" si="3"/>
        <v/>
      </c>
      <c r="R17" s="30" t="str">
        <f t="shared" si="3"/>
        <v/>
      </c>
      <c r="S17" s="30" t="str">
        <f t="shared" si="3"/>
        <v/>
      </c>
      <c r="T17" s="30" t="str">
        <f t="shared" si="4"/>
        <v/>
      </c>
      <c r="U17" s="30" t="str">
        <f t="shared" si="4"/>
        <v/>
      </c>
      <c r="V17" s="30" t="str">
        <f t="shared" si="4"/>
        <v/>
      </c>
      <c r="W17" s="30" t="str">
        <f t="shared" si="4"/>
        <v/>
      </c>
      <c r="X17" s="30" t="str">
        <f t="shared" si="4"/>
        <v/>
      </c>
      <c r="Y17" s="30" t="str">
        <f t="shared" si="4"/>
        <v/>
      </c>
      <c r="Z17" s="30" t="str">
        <f t="shared" si="4"/>
        <v/>
      </c>
      <c r="AA17" s="30" t="str">
        <f t="shared" si="4"/>
        <v/>
      </c>
      <c r="AB17" s="30" t="str">
        <f t="shared" si="4"/>
        <v/>
      </c>
      <c r="AC17" s="30" t="str">
        <f t="shared" si="4"/>
        <v/>
      </c>
      <c r="AD17" s="30" t="str">
        <f t="shared" si="4"/>
        <v/>
      </c>
      <c r="AE17" s="30" t="str">
        <f t="shared" si="4"/>
        <v/>
      </c>
      <c r="AF17" s="30" t="str">
        <f t="shared" si="4"/>
        <v/>
      </c>
    </row>
    <row r="18" spans="1:32" ht="17" customHeight="1" outlineLevel="1" x14ac:dyDescent="0.2">
      <c r="A18" s="36" t="s">
        <v>63</v>
      </c>
      <c r="B18" s="37" t="s">
        <v>64</v>
      </c>
      <c r="C18" s="38"/>
      <c r="D18" s="39">
        <f>MIN(D19:D27)</f>
        <v>46307</v>
      </c>
      <c r="E18" s="39">
        <f>MAX(E19:E27)</f>
        <v>46352</v>
      </c>
      <c r="F18" s="38">
        <f t="shared" si="2"/>
        <v>46</v>
      </c>
      <c r="G18" s="40">
        <f>IFERROR(COUNTIFS(G19:G27,"erledigt",H19:H27,"&lt;&gt;G")/COUNTIFS(H19:H27,"&lt;&gt;G"),0)</f>
        <v>0</v>
      </c>
      <c r="H18" s="41" t="s">
        <v>50</v>
      </c>
      <c r="I18" s="2"/>
      <c r="J18" s="30">
        <f t="shared" si="3"/>
        <v>1</v>
      </c>
      <c r="K18" s="30">
        <f t="shared" si="3"/>
        <v>1</v>
      </c>
      <c r="L18" s="30">
        <f t="shared" si="3"/>
        <v>1</v>
      </c>
      <c r="M18" s="30">
        <f t="shared" si="3"/>
        <v>1</v>
      </c>
      <c r="N18" s="30">
        <f t="shared" si="3"/>
        <v>1</v>
      </c>
      <c r="O18" s="30">
        <f t="shared" si="3"/>
        <v>1</v>
      </c>
      <c r="P18" s="30">
        <f t="shared" si="3"/>
        <v>1</v>
      </c>
      <c r="Q18" s="30" t="str">
        <f t="shared" si="3"/>
        <v/>
      </c>
      <c r="R18" s="30" t="str">
        <f t="shared" si="3"/>
        <v/>
      </c>
      <c r="S18" s="30" t="str">
        <f t="shared" si="3"/>
        <v/>
      </c>
      <c r="T18" s="30" t="str">
        <f t="shared" si="4"/>
        <v/>
      </c>
      <c r="U18" s="30" t="str">
        <f t="shared" si="4"/>
        <v/>
      </c>
      <c r="V18" s="30" t="str">
        <f t="shared" si="4"/>
        <v/>
      </c>
      <c r="W18" s="30" t="str">
        <f t="shared" si="4"/>
        <v/>
      </c>
      <c r="X18" s="30" t="str">
        <f t="shared" si="4"/>
        <v/>
      </c>
      <c r="Y18" s="30" t="str">
        <f t="shared" si="4"/>
        <v/>
      </c>
      <c r="Z18" s="30" t="str">
        <f t="shared" si="4"/>
        <v/>
      </c>
      <c r="AA18" s="30" t="str">
        <f t="shared" si="4"/>
        <v/>
      </c>
      <c r="AB18" s="30" t="str">
        <f t="shared" si="4"/>
        <v/>
      </c>
      <c r="AC18" s="30" t="str">
        <f t="shared" si="4"/>
        <v/>
      </c>
      <c r="AD18" s="30" t="str">
        <f t="shared" si="4"/>
        <v/>
      </c>
      <c r="AE18" s="30" t="str">
        <f t="shared" si="4"/>
        <v/>
      </c>
      <c r="AF18" s="30" t="str">
        <f t="shared" si="4"/>
        <v/>
      </c>
    </row>
    <row r="19" spans="1:32" ht="17" customHeight="1" outlineLevel="2" x14ac:dyDescent="0.2">
      <c r="A19" s="31" t="s">
        <v>65</v>
      </c>
      <c r="B19" s="42" t="s">
        <v>242</v>
      </c>
      <c r="C19" s="33" t="s">
        <v>5</v>
      </c>
      <c r="D19" s="34">
        <v>46307</v>
      </c>
      <c r="E19" s="34">
        <v>46314</v>
      </c>
      <c r="F19" s="33">
        <f t="shared" si="2"/>
        <v>8</v>
      </c>
      <c r="G19" s="33" t="s">
        <v>6</v>
      </c>
      <c r="H19" s="35" t="s">
        <v>53</v>
      </c>
      <c r="I19" s="2"/>
      <c r="J19" s="30">
        <f t="shared" ref="J19:S28" si="5">IF(AND($D19&lt;=J$6,$E19&gt;=J$5),1,"")</f>
        <v>1</v>
      </c>
      <c r="K19" s="30">
        <f t="shared" si="5"/>
        <v>1</v>
      </c>
      <c r="L19" s="30" t="str">
        <f t="shared" si="5"/>
        <v/>
      </c>
      <c r="M19" s="30" t="str">
        <f t="shared" si="5"/>
        <v/>
      </c>
      <c r="N19" s="30" t="str">
        <f t="shared" si="5"/>
        <v/>
      </c>
      <c r="O19" s="30" t="str">
        <f t="shared" si="5"/>
        <v/>
      </c>
      <c r="P19" s="30" t="str">
        <f t="shared" si="5"/>
        <v/>
      </c>
      <c r="Q19" s="30" t="str">
        <f t="shared" si="5"/>
        <v/>
      </c>
      <c r="R19" s="30" t="str">
        <f t="shared" si="5"/>
        <v/>
      </c>
      <c r="S19" s="30" t="str">
        <f t="shared" si="5"/>
        <v/>
      </c>
      <c r="T19" s="30" t="str">
        <f t="shared" ref="T19:AF28" si="6">IF(AND($D19&lt;=T$6,$E19&gt;=T$5),1,"")</f>
        <v/>
      </c>
      <c r="U19" s="30" t="str">
        <f t="shared" si="6"/>
        <v/>
      </c>
      <c r="V19" s="30" t="str">
        <f t="shared" si="6"/>
        <v/>
      </c>
      <c r="W19" s="30" t="str">
        <f t="shared" si="6"/>
        <v/>
      </c>
      <c r="X19" s="30" t="str">
        <f t="shared" si="6"/>
        <v/>
      </c>
      <c r="Y19" s="30" t="str">
        <f t="shared" si="6"/>
        <v/>
      </c>
      <c r="Z19" s="30" t="str">
        <f t="shared" si="6"/>
        <v/>
      </c>
      <c r="AA19" s="30" t="str">
        <f t="shared" si="6"/>
        <v/>
      </c>
      <c r="AB19" s="30" t="str">
        <f t="shared" si="6"/>
        <v/>
      </c>
      <c r="AC19" s="30" t="str">
        <f t="shared" si="6"/>
        <v/>
      </c>
      <c r="AD19" s="30" t="str">
        <f t="shared" si="6"/>
        <v/>
      </c>
      <c r="AE19" s="30" t="str">
        <f t="shared" si="6"/>
        <v/>
      </c>
      <c r="AF19" s="30" t="str">
        <f t="shared" si="6"/>
        <v/>
      </c>
    </row>
    <row r="20" spans="1:32" ht="17" customHeight="1" outlineLevel="2" x14ac:dyDescent="0.2">
      <c r="A20" s="36" t="s">
        <v>66</v>
      </c>
      <c r="B20" s="43" t="s">
        <v>67</v>
      </c>
      <c r="C20" s="38"/>
      <c r="D20" s="39">
        <f>MIN(D21:D25)</f>
        <v>46317</v>
      </c>
      <c r="E20" s="39">
        <f>MAX(E21:E25)</f>
        <v>46335</v>
      </c>
      <c r="F20" s="38">
        <f t="shared" si="2"/>
        <v>19</v>
      </c>
      <c r="G20" s="40">
        <f>IFERROR(COUNTIFS(G21:G25,"erledigt",H21:H25,"&lt;&gt;G")/COUNTIFS(H21:H25,"&lt;&gt;G"),0)</f>
        <v>0</v>
      </c>
      <c r="H20" s="41" t="s">
        <v>50</v>
      </c>
      <c r="I20" s="2"/>
      <c r="J20" s="30" t="str">
        <f t="shared" si="5"/>
        <v/>
      </c>
      <c r="K20" s="30">
        <f t="shared" si="5"/>
        <v>1</v>
      </c>
      <c r="L20" s="30">
        <f t="shared" si="5"/>
        <v>1</v>
      </c>
      <c r="M20" s="30">
        <f t="shared" si="5"/>
        <v>1</v>
      </c>
      <c r="N20" s="30">
        <f t="shared" si="5"/>
        <v>1</v>
      </c>
      <c r="O20" s="30" t="str">
        <f t="shared" si="5"/>
        <v/>
      </c>
      <c r="P20" s="30" t="str">
        <f t="shared" si="5"/>
        <v/>
      </c>
      <c r="Q20" s="30" t="str">
        <f t="shared" si="5"/>
        <v/>
      </c>
      <c r="R20" s="30" t="str">
        <f t="shared" si="5"/>
        <v/>
      </c>
      <c r="S20" s="30" t="str">
        <f t="shared" si="5"/>
        <v/>
      </c>
      <c r="T20" s="30" t="str">
        <f t="shared" si="6"/>
        <v/>
      </c>
      <c r="U20" s="30" t="str">
        <f t="shared" si="6"/>
        <v/>
      </c>
      <c r="V20" s="30" t="str">
        <f t="shared" si="6"/>
        <v/>
      </c>
      <c r="W20" s="30" t="str">
        <f t="shared" si="6"/>
        <v/>
      </c>
      <c r="X20" s="30" t="str">
        <f t="shared" si="6"/>
        <v/>
      </c>
      <c r="Y20" s="30" t="str">
        <f t="shared" si="6"/>
        <v/>
      </c>
      <c r="Z20" s="30" t="str">
        <f t="shared" si="6"/>
        <v/>
      </c>
      <c r="AA20" s="30" t="str">
        <f t="shared" si="6"/>
        <v/>
      </c>
      <c r="AB20" s="30" t="str">
        <f t="shared" si="6"/>
        <v/>
      </c>
      <c r="AC20" s="30" t="str">
        <f t="shared" si="6"/>
        <v/>
      </c>
      <c r="AD20" s="30" t="str">
        <f t="shared" si="6"/>
        <v/>
      </c>
      <c r="AE20" s="30" t="str">
        <f t="shared" si="6"/>
        <v/>
      </c>
      <c r="AF20" s="30" t="str">
        <f t="shared" si="6"/>
        <v/>
      </c>
    </row>
    <row r="21" spans="1:32" ht="17" customHeight="1" outlineLevel="3" x14ac:dyDescent="0.2">
      <c r="A21" s="31" t="s">
        <v>68</v>
      </c>
      <c r="B21" s="44" t="s">
        <v>69</v>
      </c>
      <c r="C21" s="33" t="s">
        <v>5</v>
      </c>
      <c r="D21" s="34">
        <v>46317</v>
      </c>
      <c r="E21" s="34">
        <v>46321</v>
      </c>
      <c r="F21" s="33">
        <f t="shared" si="2"/>
        <v>5</v>
      </c>
      <c r="G21" s="33" t="s">
        <v>236</v>
      </c>
      <c r="H21" s="35" t="s">
        <v>53</v>
      </c>
      <c r="I21" s="2"/>
      <c r="J21" s="30" t="str">
        <f t="shared" si="5"/>
        <v/>
      </c>
      <c r="K21" s="30">
        <f t="shared" si="5"/>
        <v>1</v>
      </c>
      <c r="L21" s="30">
        <f t="shared" si="5"/>
        <v>1</v>
      </c>
      <c r="M21" s="30" t="str">
        <f t="shared" si="5"/>
        <v/>
      </c>
      <c r="N21" s="30" t="str">
        <f t="shared" si="5"/>
        <v/>
      </c>
      <c r="O21" s="30" t="str">
        <f t="shared" si="5"/>
        <v/>
      </c>
      <c r="P21" s="30" t="str">
        <f t="shared" si="5"/>
        <v/>
      </c>
      <c r="Q21" s="30" t="str">
        <f t="shared" si="5"/>
        <v/>
      </c>
      <c r="R21" s="30" t="str">
        <f t="shared" si="5"/>
        <v/>
      </c>
      <c r="S21" s="30" t="str">
        <f t="shared" si="5"/>
        <v/>
      </c>
      <c r="T21" s="30" t="str">
        <f t="shared" si="6"/>
        <v/>
      </c>
      <c r="U21" s="30" t="str">
        <f t="shared" si="6"/>
        <v/>
      </c>
      <c r="V21" s="30" t="str">
        <f t="shared" si="6"/>
        <v/>
      </c>
      <c r="W21" s="30" t="str">
        <f t="shared" si="6"/>
        <v/>
      </c>
      <c r="X21" s="30" t="str">
        <f t="shared" si="6"/>
        <v/>
      </c>
      <c r="Y21" s="30" t="str">
        <f t="shared" si="6"/>
        <v/>
      </c>
      <c r="Z21" s="30" t="str">
        <f t="shared" si="6"/>
        <v/>
      </c>
      <c r="AA21" s="30" t="str">
        <f t="shared" si="6"/>
        <v/>
      </c>
      <c r="AB21" s="30" t="str">
        <f t="shared" si="6"/>
        <v/>
      </c>
      <c r="AC21" s="30" t="str">
        <f t="shared" si="6"/>
        <v/>
      </c>
      <c r="AD21" s="30" t="str">
        <f t="shared" si="6"/>
        <v/>
      </c>
      <c r="AE21" s="30" t="str">
        <f t="shared" si="6"/>
        <v/>
      </c>
      <c r="AF21" s="30" t="str">
        <f t="shared" si="6"/>
        <v/>
      </c>
    </row>
    <row r="22" spans="1:32" ht="17" customHeight="1" outlineLevel="3" x14ac:dyDescent="0.2">
      <c r="A22" s="31" t="s">
        <v>70</v>
      </c>
      <c r="B22" s="44" t="s">
        <v>71</v>
      </c>
      <c r="C22" s="33" t="s">
        <v>5</v>
      </c>
      <c r="D22" s="34">
        <v>46317</v>
      </c>
      <c r="E22" s="34">
        <v>46323</v>
      </c>
      <c r="F22" s="33">
        <f t="shared" si="2"/>
        <v>7</v>
      </c>
      <c r="G22" s="33" t="s">
        <v>236</v>
      </c>
      <c r="H22" s="35" t="s">
        <v>53</v>
      </c>
      <c r="I22" s="2"/>
      <c r="J22" s="30" t="str">
        <f t="shared" si="5"/>
        <v/>
      </c>
      <c r="K22" s="30">
        <f t="shared" si="5"/>
        <v>1</v>
      </c>
      <c r="L22" s="30">
        <f t="shared" si="5"/>
        <v>1</v>
      </c>
      <c r="M22" s="30" t="str">
        <f t="shared" si="5"/>
        <v/>
      </c>
      <c r="N22" s="30" t="str">
        <f t="shared" si="5"/>
        <v/>
      </c>
      <c r="O22" s="30" t="str">
        <f t="shared" si="5"/>
        <v/>
      </c>
      <c r="P22" s="30" t="str">
        <f t="shared" si="5"/>
        <v/>
      </c>
      <c r="Q22" s="30" t="str">
        <f t="shared" si="5"/>
        <v/>
      </c>
      <c r="R22" s="30" t="str">
        <f t="shared" si="5"/>
        <v/>
      </c>
      <c r="S22" s="30" t="str">
        <f t="shared" si="5"/>
        <v/>
      </c>
      <c r="T22" s="30" t="str">
        <f t="shared" si="6"/>
        <v/>
      </c>
      <c r="U22" s="30" t="str">
        <f t="shared" si="6"/>
        <v/>
      </c>
      <c r="V22" s="30" t="str">
        <f t="shared" si="6"/>
        <v/>
      </c>
      <c r="W22" s="30" t="str">
        <f t="shared" si="6"/>
        <v/>
      </c>
      <c r="X22" s="30" t="str">
        <f t="shared" si="6"/>
        <v/>
      </c>
      <c r="Y22" s="30" t="str">
        <f t="shared" si="6"/>
        <v/>
      </c>
      <c r="Z22" s="30" t="str">
        <f t="shared" si="6"/>
        <v/>
      </c>
      <c r="AA22" s="30" t="str">
        <f t="shared" si="6"/>
        <v/>
      </c>
      <c r="AB22" s="30" t="str">
        <f t="shared" si="6"/>
        <v/>
      </c>
      <c r="AC22" s="30" t="str">
        <f t="shared" si="6"/>
        <v/>
      </c>
      <c r="AD22" s="30" t="str">
        <f t="shared" si="6"/>
        <v/>
      </c>
      <c r="AE22" s="30" t="str">
        <f t="shared" si="6"/>
        <v/>
      </c>
      <c r="AF22" s="30" t="str">
        <f t="shared" si="6"/>
        <v/>
      </c>
    </row>
    <row r="23" spans="1:32" ht="17" customHeight="1" outlineLevel="3" x14ac:dyDescent="0.2">
      <c r="A23" s="31" t="s">
        <v>72</v>
      </c>
      <c r="B23" s="44" t="s">
        <v>73</v>
      </c>
      <c r="C23" s="33" t="s">
        <v>5</v>
      </c>
      <c r="D23" s="34">
        <v>46324</v>
      </c>
      <c r="E23" s="34">
        <v>46324</v>
      </c>
      <c r="F23" s="33">
        <f t="shared" si="2"/>
        <v>1</v>
      </c>
      <c r="G23" s="33" t="s">
        <v>6</v>
      </c>
      <c r="H23" s="35" t="s">
        <v>53</v>
      </c>
      <c r="I23" s="2"/>
      <c r="J23" s="30" t="str">
        <f t="shared" si="5"/>
        <v/>
      </c>
      <c r="K23" s="30" t="str">
        <f t="shared" si="5"/>
        <v/>
      </c>
      <c r="L23" s="30">
        <f t="shared" si="5"/>
        <v>1</v>
      </c>
      <c r="M23" s="30" t="str">
        <f t="shared" si="5"/>
        <v/>
      </c>
      <c r="N23" s="30" t="str">
        <f t="shared" si="5"/>
        <v/>
      </c>
      <c r="O23" s="30" t="str">
        <f t="shared" si="5"/>
        <v/>
      </c>
      <c r="P23" s="30" t="str">
        <f t="shared" si="5"/>
        <v/>
      </c>
      <c r="Q23" s="30" t="str">
        <f t="shared" si="5"/>
        <v/>
      </c>
      <c r="R23" s="30" t="str">
        <f t="shared" si="5"/>
        <v/>
      </c>
      <c r="S23" s="30" t="str">
        <f t="shared" si="5"/>
        <v/>
      </c>
      <c r="T23" s="30" t="str">
        <f t="shared" si="6"/>
        <v/>
      </c>
      <c r="U23" s="30" t="str">
        <f t="shared" si="6"/>
        <v/>
      </c>
      <c r="V23" s="30" t="str">
        <f t="shared" si="6"/>
        <v/>
      </c>
      <c r="W23" s="30" t="str">
        <f t="shared" si="6"/>
        <v/>
      </c>
      <c r="X23" s="30" t="str">
        <f t="shared" si="6"/>
        <v/>
      </c>
      <c r="Y23" s="30" t="str">
        <f t="shared" si="6"/>
        <v/>
      </c>
      <c r="Z23" s="30" t="str">
        <f t="shared" si="6"/>
        <v/>
      </c>
      <c r="AA23" s="30" t="str">
        <f t="shared" si="6"/>
        <v/>
      </c>
      <c r="AB23" s="30" t="str">
        <f t="shared" si="6"/>
        <v/>
      </c>
      <c r="AC23" s="30" t="str">
        <f t="shared" si="6"/>
        <v/>
      </c>
      <c r="AD23" s="30" t="str">
        <f t="shared" si="6"/>
        <v/>
      </c>
      <c r="AE23" s="30" t="str">
        <f t="shared" si="6"/>
        <v/>
      </c>
      <c r="AF23" s="30" t="str">
        <f t="shared" si="6"/>
        <v/>
      </c>
    </row>
    <row r="24" spans="1:32" ht="17" customHeight="1" outlineLevel="3" x14ac:dyDescent="0.2">
      <c r="A24" s="31" t="s">
        <v>74</v>
      </c>
      <c r="B24" s="44" t="s">
        <v>75</v>
      </c>
      <c r="C24" s="33" t="s">
        <v>6</v>
      </c>
      <c r="D24" s="34">
        <v>46325</v>
      </c>
      <c r="E24" s="34">
        <v>46328</v>
      </c>
      <c r="F24" s="33">
        <f t="shared" si="2"/>
        <v>4</v>
      </c>
      <c r="G24" s="33" t="s">
        <v>6</v>
      </c>
      <c r="H24" s="35" t="s">
        <v>53</v>
      </c>
      <c r="I24" s="2"/>
      <c r="J24" s="30" t="str">
        <f t="shared" si="5"/>
        <v/>
      </c>
      <c r="K24" s="30" t="str">
        <f t="shared" si="5"/>
        <v/>
      </c>
      <c r="L24" s="30">
        <f t="shared" si="5"/>
        <v>1</v>
      </c>
      <c r="M24" s="30">
        <f t="shared" si="5"/>
        <v>1</v>
      </c>
      <c r="N24" s="30" t="str">
        <f t="shared" si="5"/>
        <v/>
      </c>
      <c r="O24" s="30" t="str">
        <f t="shared" si="5"/>
        <v/>
      </c>
      <c r="P24" s="30" t="str">
        <f t="shared" si="5"/>
        <v/>
      </c>
      <c r="Q24" s="30" t="str">
        <f t="shared" si="5"/>
        <v/>
      </c>
      <c r="R24" s="30" t="str">
        <f t="shared" si="5"/>
        <v/>
      </c>
      <c r="S24" s="30" t="str">
        <f t="shared" si="5"/>
        <v/>
      </c>
      <c r="T24" s="30" t="str">
        <f t="shared" si="6"/>
        <v/>
      </c>
      <c r="U24" s="30" t="str">
        <f t="shared" si="6"/>
        <v/>
      </c>
      <c r="V24" s="30" t="str">
        <f t="shared" si="6"/>
        <v/>
      </c>
      <c r="W24" s="30" t="str">
        <f t="shared" si="6"/>
        <v/>
      </c>
      <c r="X24" s="30" t="str">
        <f t="shared" si="6"/>
        <v/>
      </c>
      <c r="Y24" s="30" t="str">
        <f t="shared" si="6"/>
        <v/>
      </c>
      <c r="Z24" s="30" t="str">
        <f t="shared" si="6"/>
        <v/>
      </c>
      <c r="AA24" s="30" t="str">
        <f t="shared" si="6"/>
        <v/>
      </c>
      <c r="AB24" s="30" t="str">
        <f t="shared" si="6"/>
        <v/>
      </c>
      <c r="AC24" s="30" t="str">
        <f t="shared" si="6"/>
        <v/>
      </c>
      <c r="AD24" s="30" t="str">
        <f t="shared" si="6"/>
        <v/>
      </c>
      <c r="AE24" s="30" t="str">
        <f t="shared" si="6"/>
        <v/>
      </c>
      <c r="AF24" s="30" t="str">
        <f t="shared" si="6"/>
        <v/>
      </c>
    </row>
    <row r="25" spans="1:32" ht="17" customHeight="1" outlineLevel="3" x14ac:dyDescent="0.2">
      <c r="A25" s="31" t="s">
        <v>76</v>
      </c>
      <c r="B25" s="44" t="s">
        <v>77</v>
      </c>
      <c r="C25" s="33" t="s">
        <v>5</v>
      </c>
      <c r="D25" s="34">
        <v>46328</v>
      </c>
      <c r="E25" s="34">
        <v>46335</v>
      </c>
      <c r="F25" s="33">
        <f t="shared" si="2"/>
        <v>8</v>
      </c>
      <c r="G25" s="33" t="s">
        <v>6</v>
      </c>
      <c r="H25" s="35" t="s">
        <v>53</v>
      </c>
      <c r="I25" s="2"/>
      <c r="J25" s="30" t="str">
        <f t="shared" si="5"/>
        <v/>
      </c>
      <c r="K25" s="30" t="str">
        <f t="shared" si="5"/>
        <v/>
      </c>
      <c r="L25" s="30" t="str">
        <f t="shared" si="5"/>
        <v/>
      </c>
      <c r="M25" s="30">
        <f t="shared" si="5"/>
        <v>1</v>
      </c>
      <c r="N25" s="30">
        <f t="shared" si="5"/>
        <v>1</v>
      </c>
      <c r="O25" s="30" t="str">
        <f t="shared" si="5"/>
        <v/>
      </c>
      <c r="P25" s="30" t="str">
        <f t="shared" si="5"/>
        <v/>
      </c>
      <c r="Q25" s="30" t="str">
        <f t="shared" si="5"/>
        <v/>
      </c>
      <c r="R25" s="30" t="str">
        <f t="shared" si="5"/>
        <v/>
      </c>
      <c r="S25" s="30" t="str">
        <f t="shared" si="5"/>
        <v/>
      </c>
      <c r="T25" s="30" t="str">
        <f t="shared" si="6"/>
        <v/>
      </c>
      <c r="U25" s="30" t="str">
        <f t="shared" si="6"/>
        <v/>
      </c>
      <c r="V25" s="30" t="str">
        <f t="shared" si="6"/>
        <v/>
      </c>
      <c r="W25" s="30" t="str">
        <f t="shared" si="6"/>
        <v/>
      </c>
      <c r="X25" s="30" t="str">
        <f t="shared" si="6"/>
        <v/>
      </c>
      <c r="Y25" s="30" t="str">
        <f t="shared" si="6"/>
        <v/>
      </c>
      <c r="Z25" s="30" t="str">
        <f t="shared" si="6"/>
        <v/>
      </c>
      <c r="AA25" s="30" t="str">
        <f t="shared" si="6"/>
        <v/>
      </c>
      <c r="AB25" s="30" t="str">
        <f t="shared" si="6"/>
        <v/>
      </c>
      <c r="AC25" s="30" t="str">
        <f t="shared" si="6"/>
        <v/>
      </c>
      <c r="AD25" s="30" t="str">
        <f t="shared" si="6"/>
        <v/>
      </c>
      <c r="AE25" s="30" t="str">
        <f t="shared" si="6"/>
        <v/>
      </c>
      <c r="AF25" s="30" t="str">
        <f t="shared" si="6"/>
        <v/>
      </c>
    </row>
    <row r="26" spans="1:32" ht="17" customHeight="1" outlineLevel="2" x14ac:dyDescent="0.2">
      <c r="A26" s="31" t="s">
        <v>78</v>
      </c>
      <c r="B26" s="42" t="s">
        <v>243</v>
      </c>
      <c r="C26" s="33" t="s">
        <v>3</v>
      </c>
      <c r="D26" s="34">
        <v>46331</v>
      </c>
      <c r="E26" s="34">
        <v>46352</v>
      </c>
      <c r="F26" s="33">
        <f t="shared" si="2"/>
        <v>22</v>
      </c>
      <c r="G26" s="33" t="s">
        <v>6</v>
      </c>
      <c r="H26" s="35" t="s">
        <v>53</v>
      </c>
      <c r="I26" s="2"/>
      <c r="J26" s="30" t="str">
        <f t="shared" si="5"/>
        <v/>
      </c>
      <c r="K26" s="30" t="str">
        <f t="shared" si="5"/>
        <v/>
      </c>
      <c r="L26" s="30" t="str">
        <f t="shared" si="5"/>
        <v/>
      </c>
      <c r="M26" s="30">
        <f t="shared" si="5"/>
        <v>1</v>
      </c>
      <c r="N26" s="30">
        <f t="shared" si="5"/>
        <v>1</v>
      </c>
      <c r="O26" s="30">
        <f t="shared" si="5"/>
        <v>1</v>
      </c>
      <c r="P26" s="30">
        <f t="shared" si="5"/>
        <v>1</v>
      </c>
      <c r="Q26" s="30" t="str">
        <f t="shared" si="5"/>
        <v/>
      </c>
      <c r="R26" s="30" t="str">
        <f t="shared" si="5"/>
        <v/>
      </c>
      <c r="S26" s="30" t="str">
        <f t="shared" si="5"/>
        <v/>
      </c>
      <c r="T26" s="30" t="str">
        <f t="shared" si="6"/>
        <v/>
      </c>
      <c r="U26" s="30" t="str">
        <f t="shared" si="6"/>
        <v/>
      </c>
      <c r="V26" s="30" t="str">
        <f t="shared" si="6"/>
        <v/>
      </c>
      <c r="W26" s="30" t="str">
        <f t="shared" si="6"/>
        <v/>
      </c>
      <c r="X26" s="30" t="str">
        <f t="shared" si="6"/>
        <v/>
      </c>
      <c r="Y26" s="30" t="str">
        <f t="shared" si="6"/>
        <v/>
      </c>
      <c r="Z26" s="30" t="str">
        <f t="shared" si="6"/>
        <v/>
      </c>
      <c r="AA26" s="30" t="str">
        <f t="shared" si="6"/>
        <v/>
      </c>
      <c r="AB26" s="30" t="str">
        <f t="shared" si="6"/>
        <v/>
      </c>
      <c r="AC26" s="30" t="str">
        <f t="shared" si="6"/>
        <v/>
      </c>
      <c r="AD26" s="30" t="str">
        <f t="shared" si="6"/>
        <v/>
      </c>
      <c r="AE26" s="30" t="str">
        <f t="shared" si="6"/>
        <v/>
      </c>
      <c r="AF26" s="30" t="str">
        <f t="shared" si="6"/>
        <v/>
      </c>
    </row>
    <row r="27" spans="1:32" ht="17" customHeight="1" outlineLevel="2" x14ac:dyDescent="0.2">
      <c r="A27" s="31" t="s">
        <v>79</v>
      </c>
      <c r="B27" s="42" t="s">
        <v>244</v>
      </c>
      <c r="C27" s="33" t="s">
        <v>3</v>
      </c>
      <c r="D27" s="34">
        <v>46331</v>
      </c>
      <c r="E27" s="34">
        <v>46352</v>
      </c>
      <c r="F27" s="33">
        <f t="shared" si="2"/>
        <v>22</v>
      </c>
      <c r="G27" s="33" t="s">
        <v>6</v>
      </c>
      <c r="H27" s="35" t="s">
        <v>53</v>
      </c>
      <c r="I27" s="2"/>
      <c r="J27" s="30" t="str">
        <f t="shared" si="5"/>
        <v/>
      </c>
      <c r="K27" s="30" t="str">
        <f t="shared" si="5"/>
        <v/>
      </c>
      <c r="L27" s="30" t="str">
        <f t="shared" si="5"/>
        <v/>
      </c>
      <c r="M27" s="30">
        <f t="shared" si="5"/>
        <v>1</v>
      </c>
      <c r="N27" s="30">
        <f t="shared" si="5"/>
        <v>1</v>
      </c>
      <c r="O27" s="30">
        <f t="shared" si="5"/>
        <v>1</v>
      </c>
      <c r="P27" s="30">
        <f t="shared" si="5"/>
        <v>1</v>
      </c>
      <c r="Q27" s="30" t="str">
        <f t="shared" si="5"/>
        <v/>
      </c>
      <c r="R27" s="30" t="str">
        <f t="shared" si="5"/>
        <v/>
      </c>
      <c r="S27" s="30" t="str">
        <f t="shared" si="5"/>
        <v/>
      </c>
      <c r="T27" s="30" t="str">
        <f t="shared" si="6"/>
        <v/>
      </c>
      <c r="U27" s="30" t="str">
        <f t="shared" si="6"/>
        <v/>
      </c>
      <c r="V27" s="30" t="str">
        <f t="shared" si="6"/>
        <v/>
      </c>
      <c r="W27" s="30" t="str">
        <f t="shared" si="6"/>
        <v/>
      </c>
      <c r="X27" s="30" t="str">
        <f t="shared" si="6"/>
        <v/>
      </c>
      <c r="Y27" s="30" t="str">
        <f t="shared" si="6"/>
        <v/>
      </c>
      <c r="Z27" s="30" t="str">
        <f t="shared" si="6"/>
        <v/>
      </c>
      <c r="AA27" s="30" t="str">
        <f t="shared" si="6"/>
        <v/>
      </c>
      <c r="AB27" s="30" t="str">
        <f t="shared" si="6"/>
        <v/>
      </c>
      <c r="AC27" s="30" t="str">
        <f t="shared" si="6"/>
        <v/>
      </c>
      <c r="AD27" s="30" t="str">
        <f t="shared" si="6"/>
        <v/>
      </c>
      <c r="AE27" s="30" t="str">
        <f t="shared" si="6"/>
        <v/>
      </c>
      <c r="AF27" s="30" t="str">
        <f t="shared" si="6"/>
        <v/>
      </c>
    </row>
    <row r="28" spans="1:32" ht="17" customHeight="1" outlineLevel="1" x14ac:dyDescent="0.2">
      <c r="A28" s="36" t="s">
        <v>80</v>
      </c>
      <c r="B28" s="37" t="s">
        <v>81</v>
      </c>
      <c r="C28" s="38"/>
      <c r="D28" s="39">
        <f>MIN(D29:D39)</f>
        <v>46307</v>
      </c>
      <c r="E28" s="39">
        <f>MAX(E29:E39)</f>
        <v>46338</v>
      </c>
      <c r="F28" s="38">
        <f t="shared" si="2"/>
        <v>32</v>
      </c>
      <c r="G28" s="40">
        <f>IFERROR(COUNTIFS(G29:G39,"erledigt",H29:H39,"&lt;&gt;G")/COUNTIFS(H29:H39,"&lt;&gt;G"),0)</f>
        <v>0</v>
      </c>
      <c r="H28" s="41" t="s">
        <v>50</v>
      </c>
      <c r="I28" s="2"/>
      <c r="J28" s="30">
        <f t="shared" si="5"/>
        <v>1</v>
      </c>
      <c r="K28" s="30">
        <f t="shared" si="5"/>
        <v>1</v>
      </c>
      <c r="L28" s="30">
        <f t="shared" si="5"/>
        <v>1</v>
      </c>
      <c r="M28" s="30">
        <f t="shared" si="5"/>
        <v>1</v>
      </c>
      <c r="N28" s="30">
        <f t="shared" si="5"/>
        <v>1</v>
      </c>
      <c r="O28" s="30" t="str">
        <f t="shared" si="5"/>
        <v/>
      </c>
      <c r="P28" s="30" t="str">
        <f t="shared" si="5"/>
        <v/>
      </c>
      <c r="Q28" s="30" t="str">
        <f t="shared" si="5"/>
        <v/>
      </c>
      <c r="R28" s="30" t="str">
        <f t="shared" si="5"/>
        <v/>
      </c>
      <c r="S28" s="30" t="str">
        <f t="shared" si="5"/>
        <v/>
      </c>
      <c r="T28" s="30" t="str">
        <f t="shared" si="6"/>
        <v/>
      </c>
      <c r="U28" s="30" t="str">
        <f t="shared" si="6"/>
        <v/>
      </c>
      <c r="V28" s="30" t="str">
        <f t="shared" si="6"/>
        <v/>
      </c>
      <c r="W28" s="30" t="str">
        <f t="shared" si="6"/>
        <v/>
      </c>
      <c r="X28" s="30" t="str">
        <f t="shared" si="6"/>
        <v/>
      </c>
      <c r="Y28" s="30" t="str">
        <f t="shared" si="6"/>
        <v/>
      </c>
      <c r="Z28" s="30" t="str">
        <f t="shared" si="6"/>
        <v/>
      </c>
      <c r="AA28" s="30" t="str">
        <f t="shared" si="6"/>
        <v/>
      </c>
      <c r="AB28" s="30" t="str">
        <f t="shared" si="6"/>
        <v/>
      </c>
      <c r="AC28" s="30" t="str">
        <f t="shared" si="6"/>
        <v/>
      </c>
      <c r="AD28" s="30" t="str">
        <f t="shared" si="6"/>
        <v/>
      </c>
      <c r="AE28" s="30" t="str">
        <f t="shared" si="6"/>
        <v/>
      </c>
      <c r="AF28" s="30" t="str">
        <f t="shared" si="6"/>
        <v/>
      </c>
    </row>
    <row r="29" spans="1:32" ht="17" customHeight="1" outlineLevel="2" x14ac:dyDescent="0.2">
      <c r="A29" s="36" t="s">
        <v>82</v>
      </c>
      <c r="B29" s="43" t="s">
        <v>83</v>
      </c>
      <c r="C29" s="38"/>
      <c r="D29" s="39">
        <f>MIN(D30:D35)</f>
        <v>46307</v>
      </c>
      <c r="E29" s="39">
        <f>MAX(E30:E35)</f>
        <v>46334</v>
      </c>
      <c r="F29" s="38">
        <f t="shared" si="2"/>
        <v>28</v>
      </c>
      <c r="G29" s="40">
        <f>IFERROR(COUNTIFS(G30:G35,"erledigt",H30:H35,"&lt;&gt;G")/COUNTIFS(H30:H35,"&lt;&gt;G"),0)</f>
        <v>0</v>
      </c>
      <c r="H29" s="41" t="s">
        <v>50</v>
      </c>
      <c r="I29" s="2"/>
      <c r="J29" s="30">
        <f t="shared" ref="J29:S38" si="7">IF(AND($D29&lt;=J$6,$E29&gt;=J$5),1,"")</f>
        <v>1</v>
      </c>
      <c r="K29" s="30">
        <f t="shared" si="7"/>
        <v>1</v>
      </c>
      <c r="L29" s="30">
        <f t="shared" si="7"/>
        <v>1</v>
      </c>
      <c r="M29" s="30">
        <f t="shared" si="7"/>
        <v>1</v>
      </c>
      <c r="N29" s="30" t="str">
        <f t="shared" si="7"/>
        <v/>
      </c>
      <c r="O29" s="30" t="str">
        <f t="shared" si="7"/>
        <v/>
      </c>
      <c r="P29" s="30" t="str">
        <f t="shared" si="7"/>
        <v/>
      </c>
      <c r="Q29" s="30" t="str">
        <f t="shared" si="7"/>
        <v/>
      </c>
      <c r="R29" s="30" t="str">
        <f t="shared" si="7"/>
        <v/>
      </c>
      <c r="S29" s="30" t="str">
        <f t="shared" si="7"/>
        <v/>
      </c>
      <c r="T29" s="30" t="str">
        <f t="shared" ref="T29:AF38" si="8">IF(AND($D29&lt;=T$6,$E29&gt;=T$5),1,"")</f>
        <v/>
      </c>
      <c r="U29" s="30" t="str">
        <f t="shared" si="8"/>
        <v/>
      </c>
      <c r="V29" s="30" t="str">
        <f t="shared" si="8"/>
        <v/>
      </c>
      <c r="W29" s="30" t="str">
        <f t="shared" si="8"/>
        <v/>
      </c>
      <c r="X29" s="30" t="str">
        <f t="shared" si="8"/>
        <v/>
      </c>
      <c r="Y29" s="30" t="str">
        <f t="shared" si="8"/>
        <v/>
      </c>
      <c r="Z29" s="30" t="str">
        <f t="shared" si="8"/>
        <v/>
      </c>
      <c r="AA29" s="30" t="str">
        <f t="shared" si="8"/>
        <v/>
      </c>
      <c r="AB29" s="30" t="str">
        <f t="shared" si="8"/>
        <v/>
      </c>
      <c r="AC29" s="30" t="str">
        <f t="shared" si="8"/>
        <v/>
      </c>
      <c r="AD29" s="30" t="str">
        <f t="shared" si="8"/>
        <v/>
      </c>
      <c r="AE29" s="30" t="str">
        <f t="shared" si="8"/>
        <v/>
      </c>
      <c r="AF29" s="30" t="str">
        <f t="shared" si="8"/>
        <v/>
      </c>
    </row>
    <row r="30" spans="1:32" ht="17" customHeight="1" outlineLevel="3" x14ac:dyDescent="0.2">
      <c r="A30" s="31" t="s">
        <v>84</v>
      </c>
      <c r="B30" s="44" t="s">
        <v>85</v>
      </c>
      <c r="C30" s="33" t="s">
        <v>4</v>
      </c>
      <c r="D30" s="34">
        <v>46307</v>
      </c>
      <c r="E30" s="34">
        <v>46314</v>
      </c>
      <c r="F30" s="33">
        <f t="shared" si="2"/>
        <v>8</v>
      </c>
      <c r="G30" s="33" t="s">
        <v>6</v>
      </c>
      <c r="H30" s="35" t="s">
        <v>53</v>
      </c>
      <c r="I30" s="2"/>
      <c r="J30" s="30">
        <f t="shared" si="7"/>
        <v>1</v>
      </c>
      <c r="K30" s="30">
        <f t="shared" si="7"/>
        <v>1</v>
      </c>
      <c r="L30" s="30" t="str">
        <f t="shared" si="7"/>
        <v/>
      </c>
      <c r="M30" s="30" t="str">
        <f t="shared" si="7"/>
        <v/>
      </c>
      <c r="N30" s="30" t="str">
        <f t="shared" si="7"/>
        <v/>
      </c>
      <c r="O30" s="30" t="str">
        <f t="shared" si="7"/>
        <v/>
      </c>
      <c r="P30" s="30" t="str">
        <f t="shared" si="7"/>
        <v/>
      </c>
      <c r="Q30" s="30" t="str">
        <f t="shared" si="7"/>
        <v/>
      </c>
      <c r="R30" s="30" t="str">
        <f t="shared" si="7"/>
        <v/>
      </c>
      <c r="S30" s="30" t="str">
        <f t="shared" si="7"/>
        <v/>
      </c>
      <c r="T30" s="30" t="str">
        <f t="shared" si="8"/>
        <v/>
      </c>
      <c r="U30" s="30" t="str">
        <f t="shared" si="8"/>
        <v/>
      </c>
      <c r="V30" s="30" t="str">
        <f t="shared" si="8"/>
        <v/>
      </c>
      <c r="W30" s="30" t="str">
        <f t="shared" si="8"/>
        <v/>
      </c>
      <c r="X30" s="30" t="str">
        <f t="shared" si="8"/>
        <v/>
      </c>
      <c r="Y30" s="30" t="str">
        <f t="shared" si="8"/>
        <v/>
      </c>
      <c r="Z30" s="30" t="str">
        <f t="shared" si="8"/>
        <v/>
      </c>
      <c r="AA30" s="30" t="str">
        <f t="shared" si="8"/>
        <v/>
      </c>
      <c r="AB30" s="30" t="str">
        <f t="shared" si="8"/>
        <v/>
      </c>
      <c r="AC30" s="30" t="str">
        <f t="shared" si="8"/>
        <v/>
      </c>
      <c r="AD30" s="30" t="str">
        <f t="shared" si="8"/>
        <v/>
      </c>
      <c r="AE30" s="30" t="str">
        <f t="shared" si="8"/>
        <v/>
      </c>
      <c r="AF30" s="30" t="str">
        <f t="shared" si="8"/>
        <v/>
      </c>
    </row>
    <row r="31" spans="1:32" ht="17" customHeight="1" outlineLevel="3" x14ac:dyDescent="0.2">
      <c r="A31" s="31" t="s">
        <v>86</v>
      </c>
      <c r="B31" s="44" t="s">
        <v>87</v>
      </c>
      <c r="C31" s="33" t="s">
        <v>4</v>
      </c>
      <c r="D31" s="34">
        <v>46314</v>
      </c>
      <c r="E31" s="34">
        <v>46324</v>
      </c>
      <c r="F31" s="33">
        <f t="shared" si="2"/>
        <v>11</v>
      </c>
      <c r="G31" s="33" t="s">
        <v>236</v>
      </c>
      <c r="H31" s="35" t="s">
        <v>53</v>
      </c>
      <c r="I31" s="2"/>
      <c r="J31" s="30" t="str">
        <f t="shared" si="7"/>
        <v/>
      </c>
      <c r="K31" s="30">
        <f t="shared" si="7"/>
        <v>1</v>
      </c>
      <c r="L31" s="30">
        <f>IF(AND($D31&lt;=L$6,$E31&gt;=L$5),1,"")</f>
        <v>1</v>
      </c>
      <c r="M31" s="30" t="str">
        <f>IF(AND($D31&lt;=M$6,$E31&gt;=M$5),1,"")</f>
        <v/>
      </c>
      <c r="N31" s="30" t="str">
        <f t="shared" si="7"/>
        <v/>
      </c>
      <c r="O31" s="30" t="str">
        <f t="shared" si="7"/>
        <v/>
      </c>
      <c r="P31" s="30" t="str">
        <f t="shared" si="7"/>
        <v/>
      </c>
      <c r="Q31" s="30" t="str">
        <f t="shared" si="7"/>
        <v/>
      </c>
      <c r="R31" s="30" t="str">
        <f t="shared" si="7"/>
        <v/>
      </c>
      <c r="S31" s="30" t="str">
        <f t="shared" si="7"/>
        <v/>
      </c>
      <c r="T31" s="30" t="str">
        <f t="shared" si="8"/>
        <v/>
      </c>
      <c r="U31" s="30" t="str">
        <f t="shared" si="8"/>
        <v/>
      </c>
      <c r="V31" s="30" t="str">
        <f t="shared" si="8"/>
        <v/>
      </c>
      <c r="W31" s="30" t="str">
        <f t="shared" si="8"/>
        <v/>
      </c>
      <c r="X31" s="30" t="str">
        <f t="shared" si="8"/>
        <v/>
      </c>
      <c r="Y31" s="30" t="str">
        <f t="shared" si="8"/>
        <v/>
      </c>
      <c r="Z31" s="30" t="str">
        <f t="shared" si="8"/>
        <v/>
      </c>
      <c r="AA31" s="30" t="str">
        <f t="shared" si="8"/>
        <v/>
      </c>
      <c r="AB31" s="30" t="str">
        <f t="shared" si="8"/>
        <v/>
      </c>
      <c r="AC31" s="30" t="str">
        <f t="shared" si="8"/>
        <v/>
      </c>
      <c r="AD31" s="30" t="str">
        <f t="shared" si="8"/>
        <v/>
      </c>
      <c r="AE31" s="30" t="str">
        <f t="shared" si="8"/>
        <v/>
      </c>
      <c r="AF31" s="30" t="str">
        <f t="shared" si="8"/>
        <v/>
      </c>
    </row>
    <row r="32" spans="1:32" ht="17" customHeight="1" outlineLevel="3" x14ac:dyDescent="0.2">
      <c r="A32" s="31" t="s">
        <v>88</v>
      </c>
      <c r="B32" s="44" t="s">
        <v>89</v>
      </c>
      <c r="C32" s="33" t="s">
        <v>5</v>
      </c>
      <c r="D32" s="34">
        <v>46324</v>
      </c>
      <c r="E32" s="34">
        <v>46324</v>
      </c>
      <c r="F32" s="33">
        <f t="shared" si="2"/>
        <v>1</v>
      </c>
      <c r="G32" s="33" t="s">
        <v>6</v>
      </c>
      <c r="H32" s="35" t="s">
        <v>53</v>
      </c>
      <c r="I32" s="2"/>
      <c r="J32" s="30" t="str">
        <f t="shared" si="7"/>
        <v/>
      </c>
      <c r="K32" s="30" t="str">
        <f t="shared" si="7"/>
        <v/>
      </c>
      <c r="L32" s="30">
        <f t="shared" si="7"/>
        <v>1</v>
      </c>
      <c r="M32" s="30" t="str">
        <f>IF(AND($D32&lt;=M$6,$E32&gt;=M$5),1,"")</f>
        <v/>
      </c>
      <c r="N32" s="30" t="str">
        <f t="shared" si="7"/>
        <v/>
      </c>
      <c r="O32" s="30" t="str">
        <f t="shared" si="7"/>
        <v/>
      </c>
      <c r="P32" s="30" t="str">
        <f t="shared" si="7"/>
        <v/>
      </c>
      <c r="Q32" s="30" t="str">
        <f t="shared" si="7"/>
        <v/>
      </c>
      <c r="R32" s="30" t="str">
        <f t="shared" si="7"/>
        <v/>
      </c>
      <c r="S32" s="30" t="str">
        <f t="shared" si="7"/>
        <v/>
      </c>
      <c r="T32" s="30" t="str">
        <f t="shared" si="8"/>
        <v/>
      </c>
      <c r="U32" s="30" t="str">
        <f t="shared" si="8"/>
        <v/>
      </c>
      <c r="V32" s="30" t="str">
        <f t="shared" si="8"/>
        <v/>
      </c>
      <c r="W32" s="30" t="str">
        <f t="shared" si="8"/>
        <v/>
      </c>
      <c r="X32" s="30" t="str">
        <f t="shared" si="8"/>
        <v/>
      </c>
      <c r="Y32" s="30" t="str">
        <f t="shared" si="8"/>
        <v/>
      </c>
      <c r="Z32" s="30" t="str">
        <f t="shared" si="8"/>
        <v/>
      </c>
      <c r="AA32" s="30" t="str">
        <f t="shared" si="8"/>
        <v/>
      </c>
      <c r="AB32" s="30" t="str">
        <f t="shared" si="8"/>
        <v/>
      </c>
      <c r="AC32" s="30" t="str">
        <f t="shared" si="8"/>
        <v/>
      </c>
      <c r="AD32" s="30" t="str">
        <f t="shared" si="8"/>
        <v/>
      </c>
      <c r="AE32" s="30" t="str">
        <f t="shared" si="8"/>
        <v/>
      </c>
      <c r="AF32" s="30" t="str">
        <f t="shared" si="8"/>
        <v/>
      </c>
    </row>
    <row r="33" spans="1:32" ht="17" customHeight="1" outlineLevel="3" x14ac:dyDescent="0.2">
      <c r="A33" s="31" t="s">
        <v>90</v>
      </c>
      <c r="B33" s="44" t="s">
        <v>91</v>
      </c>
      <c r="C33" s="33" t="s">
        <v>5</v>
      </c>
      <c r="D33" s="34">
        <v>46324</v>
      </c>
      <c r="E33" s="34">
        <v>46324</v>
      </c>
      <c r="F33" s="33">
        <f t="shared" si="2"/>
        <v>1</v>
      </c>
      <c r="G33" s="33" t="s">
        <v>6</v>
      </c>
      <c r="H33" s="35" t="s">
        <v>53</v>
      </c>
      <c r="I33" s="2"/>
      <c r="J33" s="30" t="str">
        <f t="shared" si="7"/>
        <v/>
      </c>
      <c r="K33" s="30" t="str">
        <f t="shared" si="7"/>
        <v/>
      </c>
      <c r="L33" s="30">
        <f t="shared" si="7"/>
        <v>1</v>
      </c>
      <c r="M33" s="30" t="str">
        <f t="shared" si="7"/>
        <v/>
      </c>
      <c r="N33" s="30" t="str">
        <f t="shared" si="7"/>
        <v/>
      </c>
      <c r="O33" s="30" t="str">
        <f t="shared" si="7"/>
        <v/>
      </c>
      <c r="P33" s="30" t="str">
        <f t="shared" si="7"/>
        <v/>
      </c>
      <c r="Q33" s="30" t="str">
        <f t="shared" si="7"/>
        <v/>
      </c>
      <c r="R33" s="30" t="str">
        <f t="shared" si="7"/>
        <v/>
      </c>
      <c r="S33" s="30" t="str">
        <f t="shared" si="7"/>
        <v/>
      </c>
      <c r="T33" s="30" t="str">
        <f t="shared" si="8"/>
        <v/>
      </c>
      <c r="U33" s="30" t="str">
        <f t="shared" si="8"/>
        <v/>
      </c>
      <c r="V33" s="30" t="str">
        <f t="shared" si="8"/>
        <v/>
      </c>
      <c r="W33" s="30" t="str">
        <f t="shared" si="8"/>
        <v/>
      </c>
      <c r="X33" s="30" t="str">
        <f t="shared" si="8"/>
        <v/>
      </c>
      <c r="Y33" s="30" t="str">
        <f t="shared" si="8"/>
        <v/>
      </c>
      <c r="Z33" s="30" t="str">
        <f t="shared" si="8"/>
        <v/>
      </c>
      <c r="AA33" s="30" t="str">
        <f t="shared" si="8"/>
        <v/>
      </c>
      <c r="AB33" s="30" t="str">
        <f t="shared" si="8"/>
        <v/>
      </c>
      <c r="AC33" s="30" t="str">
        <f t="shared" si="8"/>
        <v/>
      </c>
      <c r="AD33" s="30" t="str">
        <f t="shared" si="8"/>
        <v/>
      </c>
      <c r="AE33" s="30" t="str">
        <f t="shared" si="8"/>
        <v/>
      </c>
      <c r="AF33" s="30" t="str">
        <f t="shared" si="8"/>
        <v/>
      </c>
    </row>
    <row r="34" spans="1:32" ht="17" customHeight="1" outlineLevel="3" x14ac:dyDescent="0.2">
      <c r="A34" s="31" t="s">
        <v>92</v>
      </c>
      <c r="B34" s="44" t="s">
        <v>93</v>
      </c>
      <c r="C34" s="33" t="s">
        <v>5</v>
      </c>
      <c r="D34" s="34">
        <v>46324</v>
      </c>
      <c r="E34" s="34">
        <v>46331</v>
      </c>
      <c r="F34" s="33">
        <f t="shared" si="2"/>
        <v>8</v>
      </c>
      <c r="G34" s="33" t="s">
        <v>6</v>
      </c>
      <c r="H34" s="35" t="s">
        <v>53</v>
      </c>
      <c r="I34" s="2"/>
      <c r="J34" s="30" t="str">
        <f t="shared" si="7"/>
        <v/>
      </c>
      <c r="K34" s="30" t="str">
        <f t="shared" si="7"/>
        <v/>
      </c>
      <c r="L34" s="30">
        <f t="shared" si="7"/>
        <v>1</v>
      </c>
      <c r="M34" s="30">
        <f t="shared" si="7"/>
        <v>1</v>
      </c>
      <c r="N34" s="30" t="str">
        <f t="shared" si="7"/>
        <v/>
      </c>
      <c r="O34" s="30" t="str">
        <f t="shared" si="7"/>
        <v/>
      </c>
      <c r="P34" s="30" t="str">
        <f t="shared" si="7"/>
        <v/>
      </c>
      <c r="Q34" s="30" t="str">
        <f t="shared" si="7"/>
        <v/>
      </c>
      <c r="R34" s="30" t="str">
        <f t="shared" si="7"/>
        <v/>
      </c>
      <c r="S34" s="30" t="str">
        <f t="shared" si="7"/>
        <v/>
      </c>
      <c r="T34" s="30" t="str">
        <f t="shared" si="8"/>
        <v/>
      </c>
      <c r="U34" s="30" t="str">
        <f t="shared" si="8"/>
        <v/>
      </c>
      <c r="V34" s="30" t="str">
        <f t="shared" si="8"/>
        <v/>
      </c>
      <c r="W34" s="30" t="str">
        <f t="shared" si="8"/>
        <v/>
      </c>
      <c r="X34" s="30" t="str">
        <f t="shared" si="8"/>
        <v/>
      </c>
      <c r="Y34" s="30" t="str">
        <f t="shared" si="8"/>
        <v/>
      </c>
      <c r="Z34" s="30" t="str">
        <f t="shared" si="8"/>
        <v/>
      </c>
      <c r="AA34" s="30" t="str">
        <f t="shared" si="8"/>
        <v/>
      </c>
      <c r="AB34" s="30" t="str">
        <f t="shared" si="8"/>
        <v/>
      </c>
      <c r="AC34" s="30" t="str">
        <f t="shared" si="8"/>
        <v/>
      </c>
      <c r="AD34" s="30" t="str">
        <f t="shared" si="8"/>
        <v/>
      </c>
      <c r="AE34" s="30" t="str">
        <f t="shared" si="8"/>
        <v/>
      </c>
      <c r="AF34" s="30" t="str">
        <f t="shared" si="8"/>
        <v/>
      </c>
    </row>
    <row r="35" spans="1:32" ht="17" customHeight="1" outlineLevel="3" x14ac:dyDescent="0.2">
      <c r="A35" s="31" t="s">
        <v>94</v>
      </c>
      <c r="B35" s="44" t="s">
        <v>95</v>
      </c>
      <c r="C35" s="33" t="s">
        <v>4</v>
      </c>
      <c r="D35" s="34">
        <v>46331</v>
      </c>
      <c r="E35" s="34">
        <v>46334</v>
      </c>
      <c r="F35" s="33">
        <f t="shared" si="2"/>
        <v>4</v>
      </c>
      <c r="G35" s="33" t="s">
        <v>6</v>
      </c>
      <c r="H35" s="35" t="s">
        <v>53</v>
      </c>
      <c r="I35" s="2"/>
      <c r="J35" s="30" t="str">
        <f t="shared" si="7"/>
        <v/>
      </c>
      <c r="K35" s="30" t="str">
        <f t="shared" si="7"/>
        <v/>
      </c>
      <c r="L35" s="30" t="str">
        <f t="shared" si="7"/>
        <v/>
      </c>
      <c r="M35" s="30">
        <f t="shared" si="7"/>
        <v>1</v>
      </c>
      <c r="N35" s="30" t="str">
        <f t="shared" si="7"/>
        <v/>
      </c>
      <c r="O35" s="30" t="str">
        <f t="shared" si="7"/>
        <v/>
      </c>
      <c r="P35" s="30" t="str">
        <f t="shared" si="7"/>
        <v/>
      </c>
      <c r="Q35" s="30" t="str">
        <f t="shared" si="7"/>
        <v/>
      </c>
      <c r="R35" s="30" t="str">
        <f t="shared" si="7"/>
        <v/>
      </c>
      <c r="S35" s="30" t="str">
        <f t="shared" si="7"/>
        <v/>
      </c>
      <c r="T35" s="30" t="str">
        <f t="shared" si="8"/>
        <v/>
      </c>
      <c r="U35" s="30" t="str">
        <f t="shared" si="8"/>
        <v/>
      </c>
      <c r="V35" s="30" t="str">
        <f t="shared" si="8"/>
        <v/>
      </c>
      <c r="W35" s="30" t="str">
        <f t="shared" si="8"/>
        <v/>
      </c>
      <c r="X35" s="30" t="str">
        <f t="shared" si="8"/>
        <v/>
      </c>
      <c r="Y35" s="30" t="str">
        <f t="shared" si="8"/>
        <v/>
      </c>
      <c r="Z35" s="30" t="str">
        <f t="shared" si="8"/>
        <v/>
      </c>
      <c r="AA35" s="30" t="str">
        <f t="shared" si="8"/>
        <v/>
      </c>
      <c r="AB35" s="30" t="str">
        <f t="shared" si="8"/>
        <v/>
      </c>
      <c r="AC35" s="30" t="str">
        <f t="shared" si="8"/>
        <v/>
      </c>
      <c r="AD35" s="30" t="str">
        <f t="shared" si="8"/>
        <v/>
      </c>
      <c r="AE35" s="30" t="str">
        <f t="shared" si="8"/>
        <v/>
      </c>
      <c r="AF35" s="30" t="str">
        <f t="shared" si="8"/>
        <v/>
      </c>
    </row>
    <row r="36" spans="1:32" ht="17" customHeight="1" outlineLevel="2" x14ac:dyDescent="0.2">
      <c r="A36" s="36" t="s">
        <v>96</v>
      </c>
      <c r="B36" s="43" t="s">
        <v>97</v>
      </c>
      <c r="C36" s="38"/>
      <c r="D36" s="39">
        <f>MIN(D37:D39)</f>
        <v>46331</v>
      </c>
      <c r="E36" s="39">
        <f>MAX(E37:E39)</f>
        <v>46338</v>
      </c>
      <c r="F36" s="38">
        <f t="shared" si="2"/>
        <v>8</v>
      </c>
      <c r="G36" s="40">
        <f>IFERROR(COUNTIFS(G37:G39,"erledigt",H37:H39,"&lt;&gt;G")/COUNTIFS(H37:H39,"&lt;&gt;G"),0)</f>
        <v>0</v>
      </c>
      <c r="H36" s="41" t="s">
        <v>50</v>
      </c>
      <c r="I36" s="2"/>
      <c r="J36" s="30" t="str">
        <f t="shared" si="7"/>
        <v/>
      </c>
      <c r="K36" s="30" t="str">
        <f t="shared" si="7"/>
        <v/>
      </c>
      <c r="L36" s="30" t="str">
        <f t="shared" si="7"/>
        <v/>
      </c>
      <c r="M36" s="30">
        <f t="shared" si="7"/>
        <v>1</v>
      </c>
      <c r="N36" s="30">
        <f t="shared" si="7"/>
        <v>1</v>
      </c>
      <c r="O36" s="30" t="str">
        <f t="shared" si="7"/>
        <v/>
      </c>
      <c r="P36" s="30" t="str">
        <f t="shared" si="7"/>
        <v/>
      </c>
      <c r="Q36" s="30" t="str">
        <f t="shared" si="7"/>
        <v/>
      </c>
      <c r="R36" s="30" t="str">
        <f t="shared" si="7"/>
        <v/>
      </c>
      <c r="S36" s="30" t="str">
        <f t="shared" si="7"/>
        <v/>
      </c>
      <c r="T36" s="30" t="str">
        <f t="shared" si="8"/>
        <v/>
      </c>
      <c r="U36" s="30" t="str">
        <f t="shared" si="8"/>
        <v/>
      </c>
      <c r="V36" s="30" t="str">
        <f t="shared" si="8"/>
        <v/>
      </c>
      <c r="W36" s="30" t="str">
        <f t="shared" si="8"/>
        <v/>
      </c>
      <c r="X36" s="30" t="str">
        <f t="shared" si="8"/>
        <v/>
      </c>
      <c r="Y36" s="30" t="str">
        <f t="shared" si="8"/>
        <v/>
      </c>
      <c r="Z36" s="30" t="str">
        <f t="shared" si="8"/>
        <v/>
      </c>
      <c r="AA36" s="30" t="str">
        <f t="shared" si="8"/>
        <v/>
      </c>
      <c r="AB36" s="30" t="str">
        <f t="shared" si="8"/>
        <v/>
      </c>
      <c r="AC36" s="30" t="str">
        <f t="shared" si="8"/>
        <v/>
      </c>
      <c r="AD36" s="30" t="str">
        <f t="shared" si="8"/>
        <v/>
      </c>
      <c r="AE36" s="30" t="str">
        <f t="shared" si="8"/>
        <v/>
      </c>
      <c r="AF36" s="30" t="str">
        <f t="shared" si="8"/>
        <v/>
      </c>
    </row>
    <row r="37" spans="1:32" ht="17" customHeight="1" outlineLevel="3" x14ac:dyDescent="0.2">
      <c r="A37" s="31" t="s">
        <v>98</v>
      </c>
      <c r="B37" s="44" t="s">
        <v>245</v>
      </c>
      <c r="C37" s="33" t="s">
        <v>4</v>
      </c>
      <c r="D37" s="34">
        <v>46335</v>
      </c>
      <c r="E37" s="34">
        <v>46335</v>
      </c>
      <c r="F37" s="33">
        <f t="shared" si="2"/>
        <v>1</v>
      </c>
      <c r="G37" s="33" t="s">
        <v>6</v>
      </c>
      <c r="H37" s="35" t="s">
        <v>53</v>
      </c>
      <c r="I37" s="2"/>
      <c r="J37" s="30" t="str">
        <f t="shared" si="7"/>
        <v/>
      </c>
      <c r="K37" s="30" t="str">
        <f t="shared" si="7"/>
        <v/>
      </c>
      <c r="L37" s="30" t="str">
        <f t="shared" si="7"/>
        <v/>
      </c>
      <c r="M37" s="30" t="str">
        <f t="shared" si="7"/>
        <v/>
      </c>
      <c r="N37" s="30">
        <f t="shared" si="7"/>
        <v>1</v>
      </c>
      <c r="O37" s="30" t="str">
        <f t="shared" si="7"/>
        <v/>
      </c>
      <c r="P37" s="30" t="str">
        <f t="shared" si="7"/>
        <v/>
      </c>
      <c r="Q37" s="30" t="str">
        <f t="shared" si="7"/>
        <v/>
      </c>
      <c r="R37" s="30" t="str">
        <f t="shared" si="7"/>
        <v/>
      </c>
      <c r="S37" s="30" t="str">
        <f t="shared" si="7"/>
        <v/>
      </c>
      <c r="T37" s="30" t="str">
        <f t="shared" si="8"/>
        <v/>
      </c>
      <c r="U37" s="30" t="str">
        <f t="shared" si="8"/>
        <v/>
      </c>
      <c r="V37" s="30" t="str">
        <f t="shared" si="8"/>
        <v/>
      </c>
      <c r="W37" s="30" t="str">
        <f t="shared" si="8"/>
        <v/>
      </c>
      <c r="X37" s="30" t="str">
        <f t="shared" si="8"/>
        <v/>
      </c>
      <c r="Y37" s="30" t="str">
        <f t="shared" si="8"/>
        <v/>
      </c>
      <c r="Z37" s="30" t="str">
        <f t="shared" si="8"/>
        <v/>
      </c>
      <c r="AA37" s="30" t="str">
        <f t="shared" si="8"/>
        <v/>
      </c>
      <c r="AB37" s="30" t="str">
        <f t="shared" si="8"/>
        <v/>
      </c>
      <c r="AC37" s="30" t="str">
        <f t="shared" si="8"/>
        <v/>
      </c>
      <c r="AD37" s="30" t="str">
        <f t="shared" si="8"/>
        <v/>
      </c>
      <c r="AE37" s="30" t="str">
        <f t="shared" si="8"/>
        <v/>
      </c>
      <c r="AF37" s="30" t="str">
        <f t="shared" si="8"/>
        <v/>
      </c>
    </row>
    <row r="38" spans="1:32" ht="17" customHeight="1" outlineLevel="3" x14ac:dyDescent="0.2">
      <c r="A38" s="31" t="s">
        <v>99</v>
      </c>
      <c r="B38" s="44" t="s">
        <v>100</v>
      </c>
      <c r="C38" s="33" t="s">
        <v>4</v>
      </c>
      <c r="D38" s="34">
        <v>46331</v>
      </c>
      <c r="E38" s="34">
        <v>46338</v>
      </c>
      <c r="F38" s="33">
        <f t="shared" si="2"/>
        <v>8</v>
      </c>
      <c r="G38" s="33" t="s">
        <v>6</v>
      </c>
      <c r="H38" s="35" t="s">
        <v>53</v>
      </c>
      <c r="I38" s="2"/>
      <c r="J38" s="30" t="str">
        <f t="shared" si="7"/>
        <v/>
      </c>
      <c r="K38" s="30" t="str">
        <f t="shared" si="7"/>
        <v/>
      </c>
      <c r="L38" s="30" t="str">
        <f t="shared" si="7"/>
        <v/>
      </c>
      <c r="M38" s="30">
        <f t="shared" si="7"/>
        <v>1</v>
      </c>
      <c r="N38" s="30">
        <f t="shared" si="7"/>
        <v>1</v>
      </c>
      <c r="O38" s="30" t="str">
        <f t="shared" si="7"/>
        <v/>
      </c>
      <c r="P38" s="30" t="str">
        <f t="shared" si="7"/>
        <v/>
      </c>
      <c r="Q38" s="30" t="str">
        <f t="shared" si="7"/>
        <v/>
      </c>
      <c r="R38" s="30" t="str">
        <f t="shared" si="7"/>
        <v/>
      </c>
      <c r="S38" s="30" t="str">
        <f t="shared" si="7"/>
        <v/>
      </c>
      <c r="T38" s="30" t="str">
        <f t="shared" si="8"/>
        <v/>
      </c>
      <c r="U38" s="30" t="str">
        <f t="shared" si="8"/>
        <v/>
      </c>
      <c r="V38" s="30" t="str">
        <f t="shared" si="8"/>
        <v/>
      </c>
      <c r="W38" s="30" t="str">
        <f t="shared" si="8"/>
        <v/>
      </c>
      <c r="X38" s="30" t="str">
        <f t="shared" si="8"/>
        <v/>
      </c>
      <c r="Y38" s="30" t="str">
        <f t="shared" si="8"/>
        <v/>
      </c>
      <c r="Z38" s="30" t="str">
        <f t="shared" si="8"/>
        <v/>
      </c>
      <c r="AA38" s="30" t="str">
        <f t="shared" si="8"/>
        <v/>
      </c>
      <c r="AB38" s="30" t="str">
        <f t="shared" si="8"/>
        <v/>
      </c>
      <c r="AC38" s="30" t="str">
        <f t="shared" si="8"/>
        <v/>
      </c>
      <c r="AD38" s="30" t="str">
        <f t="shared" si="8"/>
        <v/>
      </c>
      <c r="AE38" s="30" t="str">
        <f t="shared" si="8"/>
        <v/>
      </c>
      <c r="AF38" s="30" t="str">
        <f t="shared" si="8"/>
        <v/>
      </c>
    </row>
    <row r="39" spans="1:32" ht="17" customHeight="1" outlineLevel="3" x14ac:dyDescent="0.2">
      <c r="A39" s="31" t="s">
        <v>101</v>
      </c>
      <c r="B39" s="44" t="s">
        <v>102</v>
      </c>
      <c r="C39" s="33" t="s">
        <v>4</v>
      </c>
      <c r="D39" s="34">
        <v>46338</v>
      </c>
      <c r="E39" s="34">
        <v>46338</v>
      </c>
      <c r="F39" s="33">
        <f t="shared" si="2"/>
        <v>1</v>
      </c>
      <c r="G39" s="33" t="s">
        <v>6</v>
      </c>
      <c r="H39" s="35" t="s">
        <v>53</v>
      </c>
      <c r="I39" s="2"/>
      <c r="J39" s="30" t="str">
        <f t="shared" ref="J39:S47" si="9">IF(AND($D39&lt;=J$6,$E39&gt;=J$5),1,"")</f>
        <v/>
      </c>
      <c r="K39" s="30" t="str">
        <f t="shared" si="9"/>
        <v/>
      </c>
      <c r="L39" s="30" t="str">
        <f t="shared" si="9"/>
        <v/>
      </c>
      <c r="M39" s="30" t="str">
        <f t="shared" si="9"/>
        <v/>
      </c>
      <c r="N39" s="30">
        <f t="shared" si="9"/>
        <v>1</v>
      </c>
      <c r="O39" s="30" t="str">
        <f t="shared" si="9"/>
        <v/>
      </c>
      <c r="P39" s="30" t="str">
        <f t="shared" si="9"/>
        <v/>
      </c>
      <c r="Q39" s="30" t="str">
        <f t="shared" si="9"/>
        <v/>
      </c>
      <c r="R39" s="30" t="str">
        <f t="shared" si="9"/>
        <v/>
      </c>
      <c r="S39" s="30" t="str">
        <f t="shared" si="9"/>
        <v/>
      </c>
      <c r="T39" s="30" t="str">
        <f t="shared" ref="T39:AF47" si="10">IF(AND($D39&lt;=T$6,$E39&gt;=T$5),1,"")</f>
        <v/>
      </c>
      <c r="U39" s="30" t="str">
        <f t="shared" si="10"/>
        <v/>
      </c>
      <c r="V39" s="30" t="str">
        <f t="shared" si="10"/>
        <v/>
      </c>
      <c r="W39" s="30" t="str">
        <f t="shared" si="10"/>
        <v/>
      </c>
      <c r="X39" s="30" t="str">
        <f t="shared" si="10"/>
        <v/>
      </c>
      <c r="Y39" s="30" t="str">
        <f t="shared" si="10"/>
        <v/>
      </c>
      <c r="Z39" s="30" t="str">
        <f t="shared" si="10"/>
        <v/>
      </c>
      <c r="AA39" s="30" t="str">
        <f t="shared" si="10"/>
        <v/>
      </c>
      <c r="AB39" s="30" t="str">
        <f t="shared" si="10"/>
        <v/>
      </c>
      <c r="AC39" s="30" t="str">
        <f t="shared" si="10"/>
        <v/>
      </c>
      <c r="AD39" s="30" t="str">
        <f t="shared" si="10"/>
        <v/>
      </c>
      <c r="AE39" s="30" t="str">
        <f t="shared" si="10"/>
        <v/>
      </c>
      <c r="AF39" s="30" t="str">
        <f t="shared" si="10"/>
        <v/>
      </c>
    </row>
    <row r="40" spans="1:32" ht="20" customHeight="1" x14ac:dyDescent="0.2">
      <c r="A40" s="24" t="s">
        <v>103</v>
      </c>
      <c r="B40" s="25" t="s">
        <v>104</v>
      </c>
      <c r="C40" s="26"/>
      <c r="D40" s="27">
        <f>MIN(D41:D48)</f>
        <v>46317</v>
      </c>
      <c r="E40" s="27">
        <f>MAX(E41:E48)</f>
        <v>46370</v>
      </c>
      <c r="F40" s="26">
        <f t="shared" ref="F40:F71" si="11">IF(H40="M","",E40-D40+1)</f>
        <v>54</v>
      </c>
      <c r="G40" s="28">
        <f>IFERROR(COUNTIFS(G41:G48,"erledigt",H41:H48,"&lt;&gt;G")/COUNTIFS(H41:H48,"&lt;&gt;G"),0)</f>
        <v>0</v>
      </c>
      <c r="H40" s="29" t="s">
        <v>50</v>
      </c>
      <c r="I40" s="2"/>
      <c r="J40" s="30" t="str">
        <f t="shared" si="9"/>
        <v/>
      </c>
      <c r="K40" s="30">
        <f t="shared" si="9"/>
        <v>1</v>
      </c>
      <c r="L40" s="30">
        <f t="shared" si="9"/>
        <v>1</v>
      </c>
      <c r="M40" s="30">
        <f t="shared" si="9"/>
        <v>1</v>
      </c>
      <c r="N40" s="30">
        <f t="shared" si="9"/>
        <v>1</v>
      </c>
      <c r="O40" s="30">
        <f t="shared" si="9"/>
        <v>1</v>
      </c>
      <c r="P40" s="30">
        <f t="shared" si="9"/>
        <v>1</v>
      </c>
      <c r="Q40" s="30">
        <f t="shared" si="9"/>
        <v>1</v>
      </c>
      <c r="R40" s="30">
        <f t="shared" si="9"/>
        <v>1</v>
      </c>
      <c r="S40" s="30">
        <f t="shared" si="9"/>
        <v>1</v>
      </c>
      <c r="T40" s="30" t="str">
        <f t="shared" si="10"/>
        <v/>
      </c>
      <c r="U40" s="30" t="str">
        <f t="shared" si="10"/>
        <v/>
      </c>
      <c r="V40" s="30" t="str">
        <f t="shared" si="10"/>
        <v/>
      </c>
      <c r="W40" s="30" t="str">
        <f t="shared" si="10"/>
        <v/>
      </c>
      <c r="X40" s="30" t="str">
        <f t="shared" si="10"/>
        <v/>
      </c>
      <c r="Y40" s="30" t="str">
        <f t="shared" si="10"/>
        <v/>
      </c>
      <c r="Z40" s="30" t="str">
        <f t="shared" si="10"/>
        <v/>
      </c>
      <c r="AA40" s="30" t="str">
        <f t="shared" si="10"/>
        <v/>
      </c>
      <c r="AB40" s="30" t="str">
        <f t="shared" si="10"/>
        <v/>
      </c>
      <c r="AC40" s="30" t="str">
        <f t="shared" si="10"/>
        <v/>
      </c>
      <c r="AD40" s="30" t="str">
        <f t="shared" si="10"/>
        <v/>
      </c>
      <c r="AE40" s="30" t="str">
        <f t="shared" si="10"/>
        <v/>
      </c>
      <c r="AF40" s="30" t="str">
        <f t="shared" si="10"/>
        <v/>
      </c>
    </row>
    <row r="41" spans="1:32" ht="17" customHeight="1" outlineLevel="1" x14ac:dyDescent="0.2">
      <c r="A41" s="36" t="s">
        <v>105</v>
      </c>
      <c r="B41" s="37" t="s">
        <v>106</v>
      </c>
      <c r="C41" s="38"/>
      <c r="D41" s="39">
        <f>MIN(D42:D46)</f>
        <v>46317</v>
      </c>
      <c r="E41" s="39">
        <f>MAX(E42:E46)</f>
        <v>46324</v>
      </c>
      <c r="F41" s="38">
        <f t="shared" si="11"/>
        <v>8</v>
      </c>
      <c r="G41" s="40">
        <f>IFERROR(COUNTIFS(G42:G46,"erledigt",H42:H46,"&lt;&gt;G")/COUNTIFS(H42:H46,"&lt;&gt;G"),0)</f>
        <v>0</v>
      </c>
      <c r="H41" s="41" t="s">
        <v>50</v>
      </c>
      <c r="I41" s="2"/>
      <c r="J41" s="30" t="str">
        <f t="shared" si="9"/>
        <v/>
      </c>
      <c r="K41" s="30">
        <f t="shared" si="9"/>
        <v>1</v>
      </c>
      <c r="L41" s="30">
        <f t="shared" si="9"/>
        <v>1</v>
      </c>
      <c r="M41" s="30" t="str">
        <f t="shared" si="9"/>
        <v/>
      </c>
      <c r="N41" s="30" t="str">
        <f t="shared" si="9"/>
        <v/>
      </c>
      <c r="O41" s="30" t="str">
        <f t="shared" si="9"/>
        <v/>
      </c>
      <c r="P41" s="30" t="str">
        <f t="shared" si="9"/>
        <v/>
      </c>
      <c r="Q41" s="30" t="str">
        <f t="shared" si="9"/>
        <v/>
      </c>
      <c r="R41" s="30" t="str">
        <f t="shared" si="9"/>
        <v/>
      </c>
      <c r="S41" s="30" t="str">
        <f t="shared" si="9"/>
        <v/>
      </c>
      <c r="T41" s="30" t="str">
        <f t="shared" si="10"/>
        <v/>
      </c>
      <c r="U41" s="30" t="str">
        <f t="shared" si="10"/>
        <v/>
      </c>
      <c r="V41" s="30" t="str">
        <f t="shared" si="10"/>
        <v/>
      </c>
      <c r="W41" s="30" t="str">
        <f t="shared" si="10"/>
        <v/>
      </c>
      <c r="X41" s="30" t="str">
        <f t="shared" si="10"/>
        <v/>
      </c>
      <c r="Y41" s="30" t="str">
        <f t="shared" si="10"/>
        <v/>
      </c>
      <c r="Z41" s="30" t="str">
        <f t="shared" si="10"/>
        <v/>
      </c>
      <c r="AA41" s="30" t="str">
        <f t="shared" si="10"/>
        <v/>
      </c>
      <c r="AB41" s="30" t="str">
        <f t="shared" si="10"/>
        <v/>
      </c>
      <c r="AC41" s="30" t="str">
        <f t="shared" si="10"/>
        <v/>
      </c>
      <c r="AD41" s="30" t="str">
        <f t="shared" si="10"/>
        <v/>
      </c>
      <c r="AE41" s="30" t="str">
        <f t="shared" si="10"/>
        <v/>
      </c>
      <c r="AF41" s="30" t="str">
        <f t="shared" si="10"/>
        <v/>
      </c>
    </row>
    <row r="42" spans="1:32" ht="17" customHeight="1" outlineLevel="2" x14ac:dyDescent="0.2">
      <c r="A42" s="31" t="s">
        <v>107</v>
      </c>
      <c r="B42" s="42" t="s">
        <v>108</v>
      </c>
      <c r="C42" s="33" t="s">
        <v>5</v>
      </c>
      <c r="D42" s="34">
        <v>46317</v>
      </c>
      <c r="E42" s="34">
        <v>46324</v>
      </c>
      <c r="F42" s="33">
        <f t="shared" si="11"/>
        <v>8</v>
      </c>
      <c r="G42" s="33" t="s">
        <v>6</v>
      </c>
      <c r="H42" s="35" t="s">
        <v>53</v>
      </c>
      <c r="I42" s="2"/>
      <c r="J42" s="30" t="str">
        <f t="shared" si="9"/>
        <v/>
      </c>
      <c r="K42" s="30">
        <f t="shared" si="9"/>
        <v>1</v>
      </c>
      <c r="L42" s="30">
        <f t="shared" si="9"/>
        <v>1</v>
      </c>
      <c r="M42" s="30" t="str">
        <f t="shared" si="9"/>
        <v/>
      </c>
      <c r="N42" s="30" t="str">
        <f t="shared" si="9"/>
        <v/>
      </c>
      <c r="O42" s="30" t="str">
        <f t="shared" si="9"/>
        <v/>
      </c>
      <c r="P42" s="30" t="str">
        <f t="shared" si="9"/>
        <v/>
      </c>
      <c r="Q42" s="30" t="str">
        <f t="shared" si="9"/>
        <v/>
      </c>
      <c r="R42" s="30" t="str">
        <f t="shared" si="9"/>
        <v/>
      </c>
      <c r="S42" s="30" t="str">
        <f t="shared" si="9"/>
        <v/>
      </c>
      <c r="T42" s="30" t="str">
        <f t="shared" si="10"/>
        <v/>
      </c>
      <c r="U42" s="30" t="str">
        <f t="shared" si="10"/>
        <v/>
      </c>
      <c r="V42" s="30" t="str">
        <f t="shared" si="10"/>
        <v/>
      </c>
      <c r="W42" s="30" t="str">
        <f t="shared" si="10"/>
        <v/>
      </c>
      <c r="X42" s="30" t="str">
        <f t="shared" si="10"/>
        <v/>
      </c>
      <c r="Y42" s="30" t="str">
        <f t="shared" si="10"/>
        <v/>
      </c>
      <c r="Z42" s="30" t="str">
        <f t="shared" si="10"/>
        <v/>
      </c>
      <c r="AA42" s="30" t="str">
        <f t="shared" si="10"/>
        <v/>
      </c>
      <c r="AB42" s="30" t="str">
        <f t="shared" si="10"/>
        <v/>
      </c>
      <c r="AC42" s="30" t="str">
        <f t="shared" si="10"/>
        <v/>
      </c>
      <c r="AD42" s="30" t="str">
        <f t="shared" si="10"/>
        <v/>
      </c>
      <c r="AE42" s="30" t="str">
        <f t="shared" si="10"/>
        <v/>
      </c>
      <c r="AF42" s="30" t="str">
        <f t="shared" si="10"/>
        <v/>
      </c>
    </row>
    <row r="43" spans="1:32" ht="17" customHeight="1" outlineLevel="2" x14ac:dyDescent="0.2">
      <c r="A43" s="36" t="s">
        <v>109</v>
      </c>
      <c r="B43" s="43" t="s">
        <v>110</v>
      </c>
      <c r="C43" s="38"/>
      <c r="D43" s="39">
        <f>MIN(D44:D45)</f>
        <v>46324</v>
      </c>
      <c r="E43" s="39">
        <f>MAX(E44:E45)</f>
        <v>46324</v>
      </c>
      <c r="F43" s="38">
        <f t="shared" si="11"/>
        <v>1</v>
      </c>
      <c r="G43" s="40">
        <f>IFERROR(COUNTIFS(G44:G45,"erledigt",H44:H45,"&lt;&gt;G")/COUNTIFS(H44:H45,"&lt;&gt;G"),0)</f>
        <v>0</v>
      </c>
      <c r="H43" s="41" t="s">
        <v>50</v>
      </c>
      <c r="I43" s="2"/>
      <c r="J43" s="30" t="str">
        <f t="shared" si="9"/>
        <v/>
      </c>
      <c r="K43" s="30" t="str">
        <f t="shared" si="9"/>
        <v/>
      </c>
      <c r="L43" s="30">
        <f t="shared" si="9"/>
        <v>1</v>
      </c>
      <c r="M43" s="30" t="str">
        <f t="shared" si="9"/>
        <v/>
      </c>
      <c r="N43" s="30" t="str">
        <f t="shared" si="9"/>
        <v/>
      </c>
      <c r="O43" s="30" t="str">
        <f t="shared" si="9"/>
        <v/>
      </c>
      <c r="P43" s="30" t="str">
        <f t="shared" si="9"/>
        <v/>
      </c>
      <c r="Q43" s="30" t="str">
        <f t="shared" si="9"/>
        <v/>
      </c>
      <c r="R43" s="30" t="str">
        <f t="shared" si="9"/>
        <v/>
      </c>
      <c r="S43" s="30" t="str">
        <f t="shared" si="9"/>
        <v/>
      </c>
      <c r="T43" s="30" t="str">
        <f t="shared" si="10"/>
        <v/>
      </c>
      <c r="U43" s="30" t="str">
        <f t="shared" si="10"/>
        <v/>
      </c>
      <c r="V43" s="30" t="str">
        <f t="shared" si="10"/>
        <v/>
      </c>
      <c r="W43" s="30" t="str">
        <f t="shared" si="10"/>
        <v/>
      </c>
      <c r="X43" s="30" t="str">
        <f t="shared" si="10"/>
        <v/>
      </c>
      <c r="Y43" s="30" t="str">
        <f t="shared" si="10"/>
        <v/>
      </c>
      <c r="Z43" s="30" t="str">
        <f t="shared" si="10"/>
        <v/>
      </c>
      <c r="AA43" s="30" t="str">
        <f t="shared" si="10"/>
        <v/>
      </c>
      <c r="AB43" s="30" t="str">
        <f t="shared" si="10"/>
        <v/>
      </c>
      <c r="AC43" s="30" t="str">
        <f t="shared" si="10"/>
        <v/>
      </c>
      <c r="AD43" s="30" t="str">
        <f t="shared" si="10"/>
        <v/>
      </c>
      <c r="AE43" s="30" t="str">
        <f t="shared" si="10"/>
        <v/>
      </c>
      <c r="AF43" s="30" t="str">
        <f t="shared" si="10"/>
        <v/>
      </c>
    </row>
    <row r="44" spans="1:32" ht="17" customHeight="1" outlineLevel="3" x14ac:dyDescent="0.2">
      <c r="A44" s="31" t="s">
        <v>111</v>
      </c>
      <c r="B44" s="44" t="s">
        <v>112</v>
      </c>
      <c r="C44" s="33" t="s">
        <v>5</v>
      </c>
      <c r="D44" s="34">
        <v>46324</v>
      </c>
      <c r="E44" s="34">
        <v>46324</v>
      </c>
      <c r="F44" s="33">
        <f t="shared" si="11"/>
        <v>1</v>
      </c>
      <c r="G44" s="33" t="s">
        <v>6</v>
      </c>
      <c r="H44" s="35" t="s">
        <v>53</v>
      </c>
      <c r="I44" s="2"/>
      <c r="J44" s="30" t="str">
        <f t="shared" si="9"/>
        <v/>
      </c>
      <c r="K44" s="30" t="str">
        <f t="shared" si="9"/>
        <v/>
      </c>
      <c r="L44" s="30">
        <f t="shared" si="9"/>
        <v>1</v>
      </c>
      <c r="M44" s="30" t="str">
        <f t="shared" si="9"/>
        <v/>
      </c>
      <c r="N44" s="30" t="str">
        <f t="shared" si="9"/>
        <v/>
      </c>
      <c r="O44" s="30" t="str">
        <f t="shared" si="9"/>
        <v/>
      </c>
      <c r="P44" s="30" t="str">
        <f t="shared" si="9"/>
        <v/>
      </c>
      <c r="Q44" s="30" t="str">
        <f t="shared" si="9"/>
        <v/>
      </c>
      <c r="R44" s="30" t="str">
        <f t="shared" si="9"/>
        <v/>
      </c>
      <c r="S44" s="30" t="str">
        <f t="shared" si="9"/>
        <v/>
      </c>
      <c r="T44" s="30" t="str">
        <f t="shared" si="10"/>
        <v/>
      </c>
      <c r="U44" s="30" t="str">
        <f t="shared" si="10"/>
        <v/>
      </c>
      <c r="V44" s="30" t="str">
        <f t="shared" si="10"/>
        <v/>
      </c>
      <c r="W44" s="30" t="str">
        <f t="shared" si="10"/>
        <v/>
      </c>
      <c r="X44" s="30" t="str">
        <f t="shared" si="10"/>
        <v/>
      </c>
      <c r="Y44" s="30" t="str">
        <f t="shared" si="10"/>
        <v/>
      </c>
      <c r="Z44" s="30" t="str">
        <f t="shared" si="10"/>
        <v/>
      </c>
      <c r="AA44" s="30" t="str">
        <f t="shared" si="10"/>
        <v/>
      </c>
      <c r="AB44" s="30" t="str">
        <f t="shared" si="10"/>
        <v/>
      </c>
      <c r="AC44" s="30" t="str">
        <f t="shared" si="10"/>
        <v/>
      </c>
      <c r="AD44" s="30" t="str">
        <f t="shared" si="10"/>
        <v/>
      </c>
      <c r="AE44" s="30" t="str">
        <f t="shared" si="10"/>
        <v/>
      </c>
      <c r="AF44" s="30" t="str">
        <f t="shared" si="10"/>
        <v/>
      </c>
    </row>
    <row r="45" spans="1:32" ht="17" customHeight="1" outlineLevel="3" x14ac:dyDescent="0.2">
      <c r="A45" s="31" t="s">
        <v>113</v>
      </c>
      <c r="B45" s="44" t="s">
        <v>114</v>
      </c>
      <c r="C45" s="33" t="s">
        <v>5</v>
      </c>
      <c r="D45" s="34">
        <v>46324</v>
      </c>
      <c r="E45" s="34">
        <v>46324</v>
      </c>
      <c r="F45" s="33">
        <f t="shared" si="11"/>
        <v>1</v>
      </c>
      <c r="G45" s="33" t="s">
        <v>6</v>
      </c>
      <c r="H45" s="35" t="s">
        <v>53</v>
      </c>
      <c r="I45" s="2"/>
      <c r="J45" s="30" t="str">
        <f t="shared" si="9"/>
        <v/>
      </c>
      <c r="K45" s="30" t="str">
        <f t="shared" si="9"/>
        <v/>
      </c>
      <c r="L45" s="30">
        <f t="shared" si="9"/>
        <v>1</v>
      </c>
      <c r="M45" s="30" t="str">
        <f t="shared" si="9"/>
        <v/>
      </c>
      <c r="N45" s="30" t="str">
        <f t="shared" si="9"/>
        <v/>
      </c>
      <c r="O45" s="30" t="str">
        <f t="shared" si="9"/>
        <v/>
      </c>
      <c r="P45" s="30" t="str">
        <f t="shared" si="9"/>
        <v/>
      </c>
      <c r="Q45" s="30" t="str">
        <f t="shared" si="9"/>
        <v/>
      </c>
      <c r="R45" s="30" t="str">
        <f t="shared" si="9"/>
        <v/>
      </c>
      <c r="S45" s="30" t="str">
        <f t="shared" si="9"/>
        <v/>
      </c>
      <c r="T45" s="30" t="str">
        <f t="shared" si="10"/>
        <v/>
      </c>
      <c r="U45" s="30" t="str">
        <f t="shared" si="10"/>
        <v/>
      </c>
      <c r="V45" s="30" t="str">
        <f t="shared" si="10"/>
        <v/>
      </c>
      <c r="W45" s="30" t="str">
        <f t="shared" si="10"/>
        <v/>
      </c>
      <c r="X45" s="30" t="str">
        <f t="shared" si="10"/>
        <v/>
      </c>
      <c r="Y45" s="30" t="str">
        <f t="shared" si="10"/>
        <v/>
      </c>
      <c r="Z45" s="30" t="str">
        <f t="shared" si="10"/>
        <v/>
      </c>
      <c r="AA45" s="30" t="str">
        <f t="shared" si="10"/>
        <v/>
      </c>
      <c r="AB45" s="30" t="str">
        <f t="shared" si="10"/>
        <v/>
      </c>
      <c r="AC45" s="30" t="str">
        <f t="shared" si="10"/>
        <v/>
      </c>
      <c r="AD45" s="30" t="str">
        <f t="shared" si="10"/>
        <v/>
      </c>
      <c r="AE45" s="30" t="str">
        <f t="shared" si="10"/>
        <v/>
      </c>
      <c r="AF45" s="30" t="str">
        <f t="shared" si="10"/>
        <v/>
      </c>
    </row>
    <row r="46" spans="1:32" ht="17" customHeight="1" outlineLevel="2" x14ac:dyDescent="0.2">
      <c r="A46" s="31" t="s">
        <v>115</v>
      </c>
      <c r="B46" s="42" t="s">
        <v>116</v>
      </c>
      <c r="C46" s="33" t="s">
        <v>4</v>
      </c>
      <c r="D46" s="34">
        <v>46324</v>
      </c>
      <c r="E46" s="34">
        <v>46324</v>
      </c>
      <c r="F46" s="33">
        <f t="shared" si="11"/>
        <v>1</v>
      </c>
      <c r="G46" s="33" t="s">
        <v>6</v>
      </c>
      <c r="H46" s="35" t="s">
        <v>53</v>
      </c>
      <c r="I46" s="2"/>
      <c r="J46" s="30" t="str">
        <f t="shared" si="9"/>
        <v/>
      </c>
      <c r="K46" s="30" t="str">
        <f t="shared" si="9"/>
        <v/>
      </c>
      <c r="L46" s="30">
        <f t="shared" si="9"/>
        <v>1</v>
      </c>
      <c r="M46" s="30" t="str">
        <f t="shared" si="9"/>
        <v/>
      </c>
      <c r="N46" s="30" t="str">
        <f t="shared" si="9"/>
        <v/>
      </c>
      <c r="O46" s="30" t="str">
        <f t="shared" si="9"/>
        <v/>
      </c>
      <c r="P46" s="30" t="str">
        <f t="shared" si="9"/>
        <v/>
      </c>
      <c r="Q46" s="30" t="str">
        <f t="shared" si="9"/>
        <v/>
      </c>
      <c r="R46" s="30" t="str">
        <f t="shared" si="9"/>
        <v/>
      </c>
      <c r="S46" s="30" t="str">
        <f t="shared" si="9"/>
        <v/>
      </c>
      <c r="T46" s="30" t="str">
        <f t="shared" si="10"/>
        <v/>
      </c>
      <c r="U46" s="30" t="str">
        <f t="shared" si="10"/>
        <v/>
      </c>
      <c r="V46" s="30" t="str">
        <f t="shared" si="10"/>
        <v/>
      </c>
      <c r="W46" s="30" t="str">
        <f t="shared" si="10"/>
        <v/>
      </c>
      <c r="X46" s="30" t="str">
        <f t="shared" si="10"/>
        <v/>
      </c>
      <c r="Y46" s="30" t="str">
        <f t="shared" si="10"/>
        <v/>
      </c>
      <c r="Z46" s="30" t="str">
        <f t="shared" si="10"/>
        <v/>
      </c>
      <c r="AA46" s="30" t="str">
        <f t="shared" si="10"/>
        <v/>
      </c>
      <c r="AB46" s="30" t="str">
        <f t="shared" si="10"/>
        <v/>
      </c>
      <c r="AC46" s="30" t="str">
        <f t="shared" si="10"/>
        <v/>
      </c>
      <c r="AD46" s="30" t="str">
        <f t="shared" si="10"/>
        <v/>
      </c>
      <c r="AE46" s="30" t="str">
        <f t="shared" si="10"/>
        <v/>
      </c>
      <c r="AF46" s="30" t="str">
        <f t="shared" si="10"/>
        <v/>
      </c>
    </row>
    <row r="47" spans="1:32" ht="17" customHeight="1" outlineLevel="1" x14ac:dyDescent="0.2">
      <c r="A47" s="31" t="s">
        <v>117</v>
      </c>
      <c r="B47" s="32" t="s">
        <v>235</v>
      </c>
      <c r="C47" s="33" t="s">
        <v>3</v>
      </c>
      <c r="D47" s="34">
        <v>46324</v>
      </c>
      <c r="E47" s="34">
        <v>46370</v>
      </c>
      <c r="F47" s="33">
        <f t="shared" si="11"/>
        <v>47</v>
      </c>
      <c r="G47" s="33" t="s">
        <v>6</v>
      </c>
      <c r="H47" s="35" t="s">
        <v>53</v>
      </c>
      <c r="I47" s="2"/>
      <c r="J47" s="30" t="str">
        <f t="shared" si="9"/>
        <v/>
      </c>
      <c r="K47" s="30" t="str">
        <f t="shared" si="9"/>
        <v/>
      </c>
      <c r="L47" s="30">
        <f t="shared" si="9"/>
        <v>1</v>
      </c>
      <c r="M47" s="30">
        <f t="shared" si="9"/>
        <v>1</v>
      </c>
      <c r="N47" s="30">
        <f t="shared" si="9"/>
        <v>1</v>
      </c>
      <c r="O47" s="30">
        <f t="shared" si="9"/>
        <v>1</v>
      </c>
      <c r="P47" s="30">
        <f t="shared" si="9"/>
        <v>1</v>
      </c>
      <c r="Q47" s="30">
        <f t="shared" si="9"/>
        <v>1</v>
      </c>
      <c r="R47" s="30">
        <f t="shared" si="9"/>
        <v>1</v>
      </c>
      <c r="S47" s="30">
        <f t="shared" si="9"/>
        <v>1</v>
      </c>
      <c r="T47" s="30" t="str">
        <f t="shared" si="10"/>
        <v/>
      </c>
      <c r="U47" s="30" t="str">
        <f t="shared" si="10"/>
        <v/>
      </c>
      <c r="V47" s="30" t="str">
        <f t="shared" si="10"/>
        <v/>
      </c>
      <c r="W47" s="30" t="str">
        <f t="shared" si="10"/>
        <v/>
      </c>
      <c r="X47" s="30" t="str">
        <f t="shared" si="10"/>
        <v/>
      </c>
      <c r="Y47" s="30" t="str">
        <f t="shared" si="10"/>
        <v/>
      </c>
      <c r="Z47" s="30" t="str">
        <f t="shared" si="10"/>
        <v/>
      </c>
      <c r="AA47" s="30" t="str">
        <f t="shared" si="10"/>
        <v/>
      </c>
      <c r="AB47" s="30" t="str">
        <f t="shared" si="10"/>
        <v/>
      </c>
      <c r="AC47" s="30" t="str">
        <f t="shared" si="10"/>
        <v/>
      </c>
      <c r="AD47" s="30" t="str">
        <f t="shared" si="10"/>
        <v/>
      </c>
      <c r="AE47" s="30" t="str">
        <f t="shared" si="10"/>
        <v/>
      </c>
      <c r="AF47" s="30" t="str">
        <f t="shared" si="10"/>
        <v/>
      </c>
    </row>
    <row r="48" spans="1:32" ht="17" customHeight="1" outlineLevel="1" x14ac:dyDescent="0.2">
      <c r="A48" s="31" t="s">
        <v>118</v>
      </c>
      <c r="B48" s="32" t="s">
        <v>119</v>
      </c>
      <c r="C48" s="33" t="s">
        <v>6</v>
      </c>
      <c r="D48" s="34">
        <v>46324</v>
      </c>
      <c r="E48" s="34">
        <v>46370</v>
      </c>
      <c r="F48" s="33">
        <f t="shared" si="11"/>
        <v>47</v>
      </c>
      <c r="G48" s="33" t="s">
        <v>6</v>
      </c>
      <c r="H48" s="35" t="s">
        <v>53</v>
      </c>
      <c r="I48" s="2"/>
      <c r="J48" s="30" t="str">
        <f t="shared" ref="J48:S57" si="12">IF(AND($D48&lt;=J$6,$E48&gt;=J$5),1,"")</f>
        <v/>
      </c>
      <c r="K48" s="30" t="str">
        <f t="shared" si="12"/>
        <v/>
      </c>
      <c r="L48" s="30">
        <f t="shared" si="12"/>
        <v>1</v>
      </c>
      <c r="M48" s="30">
        <f t="shared" si="12"/>
        <v>1</v>
      </c>
      <c r="N48" s="30">
        <f t="shared" si="12"/>
        <v>1</v>
      </c>
      <c r="O48" s="30">
        <f t="shared" si="12"/>
        <v>1</v>
      </c>
      <c r="P48" s="30">
        <f t="shared" si="12"/>
        <v>1</v>
      </c>
      <c r="Q48" s="30">
        <f t="shared" si="12"/>
        <v>1</v>
      </c>
      <c r="R48" s="30">
        <f t="shared" si="12"/>
        <v>1</v>
      </c>
      <c r="S48" s="30">
        <f t="shared" si="12"/>
        <v>1</v>
      </c>
      <c r="T48" s="30" t="str">
        <f t="shared" ref="T48:AF57" si="13">IF(AND($D48&lt;=T$6,$E48&gt;=T$5),1,"")</f>
        <v/>
      </c>
      <c r="U48" s="30" t="str">
        <f t="shared" si="13"/>
        <v/>
      </c>
      <c r="V48" s="30" t="str">
        <f t="shared" si="13"/>
        <v/>
      </c>
      <c r="W48" s="30" t="str">
        <f t="shared" si="13"/>
        <v/>
      </c>
      <c r="X48" s="30" t="str">
        <f t="shared" si="13"/>
        <v/>
      </c>
      <c r="Y48" s="30" t="str">
        <f t="shared" si="13"/>
        <v/>
      </c>
      <c r="Z48" s="30" t="str">
        <f t="shared" si="13"/>
        <v/>
      </c>
      <c r="AA48" s="30" t="str">
        <f t="shared" si="13"/>
        <v/>
      </c>
      <c r="AB48" s="30" t="str">
        <f t="shared" si="13"/>
        <v/>
      </c>
      <c r="AC48" s="30" t="str">
        <f t="shared" si="13"/>
        <v/>
      </c>
      <c r="AD48" s="30" t="str">
        <f t="shared" si="13"/>
        <v/>
      </c>
      <c r="AE48" s="30" t="str">
        <f t="shared" si="13"/>
        <v/>
      </c>
      <c r="AF48" s="30" t="str">
        <f t="shared" si="13"/>
        <v/>
      </c>
    </row>
    <row r="49" spans="1:32" ht="20" customHeight="1" x14ac:dyDescent="0.2">
      <c r="A49" s="24" t="s">
        <v>120</v>
      </c>
      <c r="B49" s="25" t="s">
        <v>121</v>
      </c>
      <c r="C49" s="26"/>
      <c r="D49" s="27">
        <f>MIN(D50:D55)</f>
        <v>46310</v>
      </c>
      <c r="E49" s="27">
        <f>MAX(E50:E55)</f>
        <v>46429</v>
      </c>
      <c r="F49" s="26">
        <f t="shared" si="11"/>
        <v>120</v>
      </c>
      <c r="G49" s="28">
        <f>IFERROR(COUNTIFS(G50:G55,"erledigt",H50:H55,"&lt;&gt;G")/COUNTIFS(H50:H55,"&lt;&gt;G"),0)</f>
        <v>0</v>
      </c>
      <c r="H49" s="29" t="s">
        <v>50</v>
      </c>
      <c r="I49" s="2"/>
      <c r="J49" s="30">
        <f t="shared" si="12"/>
        <v>1</v>
      </c>
      <c r="K49" s="30">
        <f t="shared" si="12"/>
        <v>1</v>
      </c>
      <c r="L49" s="30">
        <f t="shared" si="12"/>
        <v>1</v>
      </c>
      <c r="M49" s="30">
        <f t="shared" si="12"/>
        <v>1</v>
      </c>
      <c r="N49" s="30">
        <f t="shared" si="12"/>
        <v>1</v>
      </c>
      <c r="O49" s="30">
        <f t="shared" si="12"/>
        <v>1</v>
      </c>
      <c r="P49" s="30">
        <f t="shared" si="12"/>
        <v>1</v>
      </c>
      <c r="Q49" s="30">
        <f t="shared" si="12"/>
        <v>1</v>
      </c>
      <c r="R49" s="30">
        <f t="shared" si="12"/>
        <v>1</v>
      </c>
      <c r="S49" s="30">
        <f t="shared" si="12"/>
        <v>1</v>
      </c>
      <c r="T49" s="30">
        <f t="shared" si="13"/>
        <v>1</v>
      </c>
      <c r="U49" s="30">
        <f t="shared" si="13"/>
        <v>1</v>
      </c>
      <c r="V49" s="30">
        <f t="shared" si="13"/>
        <v>1</v>
      </c>
      <c r="W49" s="30">
        <f t="shared" si="13"/>
        <v>1</v>
      </c>
      <c r="X49" s="30">
        <f t="shared" si="13"/>
        <v>1</v>
      </c>
      <c r="Y49" s="30">
        <f t="shared" si="13"/>
        <v>1</v>
      </c>
      <c r="Z49" s="30">
        <f t="shared" si="13"/>
        <v>1</v>
      </c>
      <c r="AA49" s="30">
        <f t="shared" si="13"/>
        <v>1</v>
      </c>
      <c r="AB49" s="30" t="str">
        <f t="shared" si="13"/>
        <v/>
      </c>
      <c r="AC49" s="30" t="str">
        <f t="shared" si="13"/>
        <v/>
      </c>
      <c r="AD49" s="30" t="str">
        <f t="shared" si="13"/>
        <v/>
      </c>
      <c r="AE49" s="30" t="str">
        <f t="shared" si="13"/>
        <v/>
      </c>
      <c r="AF49" s="30" t="str">
        <f t="shared" si="13"/>
        <v/>
      </c>
    </row>
    <row r="50" spans="1:32" ht="17" customHeight="1" outlineLevel="1" x14ac:dyDescent="0.2">
      <c r="A50" s="31" t="s">
        <v>122</v>
      </c>
      <c r="B50" s="32" t="s">
        <v>246</v>
      </c>
      <c r="C50" s="33" t="s">
        <v>5</v>
      </c>
      <c r="D50" s="34">
        <v>46310</v>
      </c>
      <c r="E50" s="34">
        <v>46429</v>
      </c>
      <c r="F50" s="33">
        <f t="shared" si="11"/>
        <v>120</v>
      </c>
      <c r="G50" s="33" t="s">
        <v>6</v>
      </c>
      <c r="H50" s="35" t="s">
        <v>53</v>
      </c>
      <c r="I50" s="2"/>
      <c r="J50" s="30">
        <f t="shared" si="12"/>
        <v>1</v>
      </c>
      <c r="K50" s="30">
        <f t="shared" si="12"/>
        <v>1</v>
      </c>
      <c r="L50" s="30">
        <f t="shared" si="12"/>
        <v>1</v>
      </c>
      <c r="M50" s="30">
        <f t="shared" si="12"/>
        <v>1</v>
      </c>
      <c r="N50" s="30">
        <f t="shared" si="12"/>
        <v>1</v>
      </c>
      <c r="O50" s="30">
        <f t="shared" si="12"/>
        <v>1</v>
      </c>
      <c r="P50" s="30">
        <f t="shared" si="12"/>
        <v>1</v>
      </c>
      <c r="Q50" s="30">
        <f t="shared" si="12"/>
        <v>1</v>
      </c>
      <c r="R50" s="30">
        <f t="shared" si="12"/>
        <v>1</v>
      </c>
      <c r="S50" s="30">
        <f t="shared" si="12"/>
        <v>1</v>
      </c>
      <c r="T50" s="30">
        <f t="shared" si="13"/>
        <v>1</v>
      </c>
      <c r="U50" s="30">
        <f t="shared" si="13"/>
        <v>1</v>
      </c>
      <c r="V50" s="30">
        <f t="shared" si="13"/>
        <v>1</v>
      </c>
      <c r="W50" s="30">
        <f t="shared" si="13"/>
        <v>1</v>
      </c>
      <c r="X50" s="30">
        <f t="shared" si="13"/>
        <v>1</v>
      </c>
      <c r="Y50" s="30">
        <f t="shared" si="13"/>
        <v>1</v>
      </c>
      <c r="Z50" s="30">
        <f t="shared" si="13"/>
        <v>1</v>
      </c>
      <c r="AA50" s="30">
        <f t="shared" si="13"/>
        <v>1</v>
      </c>
      <c r="AB50" s="30" t="str">
        <f t="shared" si="13"/>
        <v/>
      </c>
      <c r="AC50" s="30" t="str">
        <f t="shared" si="13"/>
        <v/>
      </c>
      <c r="AD50" s="30" t="str">
        <f t="shared" si="13"/>
        <v/>
      </c>
      <c r="AE50" s="30" t="str">
        <f t="shared" si="13"/>
        <v/>
      </c>
      <c r="AF50" s="30" t="str">
        <f t="shared" si="13"/>
        <v/>
      </c>
    </row>
    <row r="51" spans="1:32" ht="17" customHeight="1" outlineLevel="1" x14ac:dyDescent="0.2">
      <c r="A51" s="31" t="s">
        <v>123</v>
      </c>
      <c r="B51" s="32" t="s">
        <v>124</v>
      </c>
      <c r="C51" s="33" t="s">
        <v>5</v>
      </c>
      <c r="D51" s="34">
        <v>46359</v>
      </c>
      <c r="E51" s="34">
        <v>46363</v>
      </c>
      <c r="F51" s="33">
        <f t="shared" si="11"/>
        <v>5</v>
      </c>
      <c r="G51" s="33" t="s">
        <v>6</v>
      </c>
      <c r="H51" s="35" t="s">
        <v>53</v>
      </c>
      <c r="I51" s="2"/>
      <c r="J51" s="30" t="str">
        <f t="shared" si="12"/>
        <v/>
      </c>
      <c r="K51" s="30" t="str">
        <f t="shared" si="12"/>
        <v/>
      </c>
      <c r="L51" s="30" t="str">
        <f t="shared" si="12"/>
        <v/>
      </c>
      <c r="M51" s="30" t="str">
        <f t="shared" si="12"/>
        <v/>
      </c>
      <c r="N51" s="30" t="str">
        <f t="shared" si="12"/>
        <v/>
      </c>
      <c r="O51" s="30" t="str">
        <f t="shared" si="12"/>
        <v/>
      </c>
      <c r="P51" s="30" t="str">
        <f t="shared" si="12"/>
        <v/>
      </c>
      <c r="Q51" s="30">
        <f t="shared" si="12"/>
        <v>1</v>
      </c>
      <c r="R51" s="30">
        <f t="shared" si="12"/>
        <v>1</v>
      </c>
      <c r="S51" s="30" t="str">
        <f t="shared" si="12"/>
        <v/>
      </c>
      <c r="T51" s="30" t="str">
        <f t="shared" si="13"/>
        <v/>
      </c>
      <c r="U51" s="30" t="str">
        <f t="shared" si="13"/>
        <v/>
      </c>
      <c r="V51" s="30" t="str">
        <f t="shared" si="13"/>
        <v/>
      </c>
      <c r="W51" s="30" t="str">
        <f t="shared" si="13"/>
        <v/>
      </c>
      <c r="X51" s="30" t="str">
        <f t="shared" si="13"/>
        <v/>
      </c>
      <c r="Y51" s="30" t="str">
        <f t="shared" si="13"/>
        <v/>
      </c>
      <c r="Z51" s="30" t="str">
        <f t="shared" si="13"/>
        <v/>
      </c>
      <c r="AA51" s="30" t="str">
        <f t="shared" si="13"/>
        <v/>
      </c>
      <c r="AB51" s="30" t="str">
        <f t="shared" si="13"/>
        <v/>
      </c>
      <c r="AC51" s="30" t="str">
        <f t="shared" si="13"/>
        <v/>
      </c>
      <c r="AD51" s="30" t="str">
        <f t="shared" si="13"/>
        <v/>
      </c>
      <c r="AE51" s="30" t="str">
        <f t="shared" si="13"/>
        <v/>
      </c>
      <c r="AF51" s="30" t="str">
        <f t="shared" si="13"/>
        <v/>
      </c>
    </row>
    <row r="52" spans="1:32" ht="17" customHeight="1" outlineLevel="1" x14ac:dyDescent="0.2">
      <c r="A52" s="31" t="s">
        <v>125</v>
      </c>
      <c r="B52" s="32" t="s">
        <v>126</v>
      </c>
      <c r="C52" s="33" t="s">
        <v>5</v>
      </c>
      <c r="D52" s="34">
        <v>46363</v>
      </c>
      <c r="E52" s="34">
        <v>46408</v>
      </c>
      <c r="F52" s="33">
        <f t="shared" si="11"/>
        <v>46</v>
      </c>
      <c r="G52" s="33" t="s">
        <v>6</v>
      </c>
      <c r="H52" s="35" t="s">
        <v>53</v>
      </c>
      <c r="I52" s="2"/>
      <c r="J52" s="30" t="str">
        <f t="shared" si="12"/>
        <v/>
      </c>
      <c r="K52" s="30" t="str">
        <f t="shared" si="12"/>
        <v/>
      </c>
      <c r="L52" s="30" t="str">
        <f t="shared" si="12"/>
        <v/>
      </c>
      <c r="M52" s="30" t="str">
        <f t="shared" si="12"/>
        <v/>
      </c>
      <c r="N52" s="30" t="str">
        <f t="shared" si="12"/>
        <v/>
      </c>
      <c r="O52" s="30" t="str">
        <f t="shared" si="12"/>
        <v/>
      </c>
      <c r="P52" s="30" t="str">
        <f t="shared" si="12"/>
        <v/>
      </c>
      <c r="Q52" s="30" t="str">
        <f t="shared" si="12"/>
        <v/>
      </c>
      <c r="R52" s="30">
        <f t="shared" si="12"/>
        <v>1</v>
      </c>
      <c r="S52" s="30">
        <f t="shared" si="12"/>
        <v>1</v>
      </c>
      <c r="T52" s="30">
        <f t="shared" si="13"/>
        <v>1</v>
      </c>
      <c r="U52" s="30">
        <f t="shared" si="13"/>
        <v>1</v>
      </c>
      <c r="V52" s="30">
        <f t="shared" si="13"/>
        <v>1</v>
      </c>
      <c r="W52" s="30">
        <f t="shared" si="13"/>
        <v>1</v>
      </c>
      <c r="X52" s="30">
        <f t="shared" si="13"/>
        <v>1</v>
      </c>
      <c r="Y52" s="30" t="str">
        <f t="shared" si="13"/>
        <v/>
      </c>
      <c r="Z52" s="30" t="str">
        <f t="shared" si="13"/>
        <v/>
      </c>
      <c r="AA52" s="30" t="str">
        <f t="shared" si="13"/>
        <v/>
      </c>
      <c r="AB52" s="30" t="str">
        <f t="shared" si="13"/>
        <v/>
      </c>
      <c r="AC52" s="30" t="str">
        <f t="shared" si="13"/>
        <v/>
      </c>
      <c r="AD52" s="30" t="str">
        <f t="shared" si="13"/>
        <v/>
      </c>
      <c r="AE52" s="30" t="str">
        <f t="shared" si="13"/>
        <v/>
      </c>
      <c r="AF52" s="30" t="str">
        <f t="shared" si="13"/>
        <v/>
      </c>
    </row>
    <row r="53" spans="1:32" ht="17" customHeight="1" outlineLevel="1" x14ac:dyDescent="0.2">
      <c r="A53" s="31" t="s">
        <v>127</v>
      </c>
      <c r="B53" s="32" t="s">
        <v>128</v>
      </c>
      <c r="C53" s="33" t="s">
        <v>5</v>
      </c>
      <c r="D53" s="34">
        <v>46363</v>
      </c>
      <c r="E53" s="34">
        <v>46408</v>
      </c>
      <c r="F53" s="33">
        <f t="shared" si="11"/>
        <v>46</v>
      </c>
      <c r="G53" s="33" t="s">
        <v>6</v>
      </c>
      <c r="H53" s="35" t="s">
        <v>53</v>
      </c>
      <c r="I53" s="2"/>
      <c r="J53" s="30" t="str">
        <f t="shared" si="12"/>
        <v/>
      </c>
      <c r="K53" s="30" t="str">
        <f t="shared" si="12"/>
        <v/>
      </c>
      <c r="L53" s="30" t="str">
        <f t="shared" si="12"/>
        <v/>
      </c>
      <c r="M53" s="30" t="str">
        <f t="shared" si="12"/>
        <v/>
      </c>
      <c r="N53" s="30" t="str">
        <f t="shared" si="12"/>
        <v/>
      </c>
      <c r="O53" s="30" t="str">
        <f t="shared" si="12"/>
        <v/>
      </c>
      <c r="P53" s="30" t="str">
        <f t="shared" si="12"/>
        <v/>
      </c>
      <c r="Q53" s="30" t="str">
        <f t="shared" si="12"/>
        <v/>
      </c>
      <c r="R53" s="30">
        <f t="shared" si="12"/>
        <v>1</v>
      </c>
      <c r="S53" s="30">
        <f t="shared" si="12"/>
        <v>1</v>
      </c>
      <c r="T53" s="30">
        <f t="shared" si="13"/>
        <v>1</v>
      </c>
      <c r="U53" s="30">
        <f t="shared" si="13"/>
        <v>1</v>
      </c>
      <c r="V53" s="30">
        <f t="shared" si="13"/>
        <v>1</v>
      </c>
      <c r="W53" s="30">
        <f t="shared" si="13"/>
        <v>1</v>
      </c>
      <c r="X53" s="30">
        <f t="shared" si="13"/>
        <v>1</v>
      </c>
      <c r="Y53" s="30" t="str">
        <f t="shared" si="13"/>
        <v/>
      </c>
      <c r="Z53" s="30" t="str">
        <f t="shared" si="13"/>
        <v/>
      </c>
      <c r="AA53" s="30" t="str">
        <f t="shared" si="13"/>
        <v/>
      </c>
      <c r="AB53" s="30" t="str">
        <f t="shared" si="13"/>
        <v/>
      </c>
      <c r="AC53" s="30" t="str">
        <f t="shared" si="13"/>
        <v/>
      </c>
      <c r="AD53" s="30" t="str">
        <f t="shared" si="13"/>
        <v/>
      </c>
      <c r="AE53" s="30" t="str">
        <f t="shared" si="13"/>
        <v/>
      </c>
      <c r="AF53" s="30" t="str">
        <f t="shared" si="13"/>
        <v/>
      </c>
    </row>
    <row r="54" spans="1:32" ht="17" customHeight="1" outlineLevel="1" x14ac:dyDescent="0.2">
      <c r="A54" s="31" t="s">
        <v>129</v>
      </c>
      <c r="B54" s="32" t="s">
        <v>247</v>
      </c>
      <c r="C54" s="33" t="s">
        <v>5</v>
      </c>
      <c r="D54" s="34">
        <v>46363</v>
      </c>
      <c r="E54" s="34">
        <v>46408</v>
      </c>
      <c r="F54" s="33">
        <f t="shared" si="11"/>
        <v>46</v>
      </c>
      <c r="G54" s="33" t="s">
        <v>6</v>
      </c>
      <c r="H54" s="35" t="s">
        <v>53</v>
      </c>
      <c r="I54" s="2"/>
      <c r="J54" s="30" t="str">
        <f t="shared" si="12"/>
        <v/>
      </c>
      <c r="K54" s="30" t="str">
        <f t="shared" si="12"/>
        <v/>
      </c>
      <c r="L54" s="30" t="str">
        <f t="shared" si="12"/>
        <v/>
      </c>
      <c r="M54" s="30" t="str">
        <f t="shared" si="12"/>
        <v/>
      </c>
      <c r="N54" s="30" t="str">
        <f t="shared" si="12"/>
        <v/>
      </c>
      <c r="O54" s="30" t="str">
        <f t="shared" si="12"/>
        <v/>
      </c>
      <c r="P54" s="30" t="str">
        <f t="shared" si="12"/>
        <v/>
      </c>
      <c r="Q54" s="30" t="str">
        <f t="shared" si="12"/>
        <v/>
      </c>
      <c r="R54" s="30">
        <f t="shared" si="12"/>
        <v>1</v>
      </c>
      <c r="S54" s="30">
        <f t="shared" si="12"/>
        <v>1</v>
      </c>
      <c r="T54" s="30">
        <f t="shared" si="13"/>
        <v>1</v>
      </c>
      <c r="U54" s="30">
        <f t="shared" si="13"/>
        <v>1</v>
      </c>
      <c r="V54" s="30">
        <f t="shared" si="13"/>
        <v>1</v>
      </c>
      <c r="W54" s="30">
        <f t="shared" si="13"/>
        <v>1</v>
      </c>
      <c r="X54" s="30">
        <f t="shared" si="13"/>
        <v>1</v>
      </c>
      <c r="Y54" s="30" t="str">
        <f t="shared" si="13"/>
        <v/>
      </c>
      <c r="Z54" s="30" t="str">
        <f t="shared" si="13"/>
        <v/>
      </c>
      <c r="AA54" s="30" t="str">
        <f t="shared" si="13"/>
        <v/>
      </c>
      <c r="AB54" s="30" t="str">
        <f t="shared" si="13"/>
        <v/>
      </c>
      <c r="AC54" s="30" t="str">
        <f t="shared" si="13"/>
        <v/>
      </c>
      <c r="AD54" s="30" t="str">
        <f t="shared" si="13"/>
        <v/>
      </c>
      <c r="AE54" s="30" t="str">
        <f t="shared" si="13"/>
        <v/>
      </c>
      <c r="AF54" s="30" t="str">
        <f t="shared" si="13"/>
        <v/>
      </c>
    </row>
    <row r="55" spans="1:32" ht="17" customHeight="1" outlineLevel="1" x14ac:dyDescent="0.2">
      <c r="A55" s="31" t="s">
        <v>130</v>
      </c>
      <c r="B55" s="32" t="s">
        <v>131</v>
      </c>
      <c r="C55" s="33" t="s">
        <v>5</v>
      </c>
      <c r="D55" s="34">
        <v>46408</v>
      </c>
      <c r="E55" s="34">
        <v>46429</v>
      </c>
      <c r="F55" s="33">
        <f t="shared" si="11"/>
        <v>22</v>
      </c>
      <c r="G55" s="33" t="s">
        <v>6</v>
      </c>
      <c r="H55" s="35" t="s">
        <v>53</v>
      </c>
      <c r="I55" s="2"/>
      <c r="J55" s="30" t="str">
        <f t="shared" si="12"/>
        <v/>
      </c>
      <c r="K55" s="30" t="str">
        <f t="shared" si="12"/>
        <v/>
      </c>
      <c r="L55" s="30" t="str">
        <f t="shared" si="12"/>
        <v/>
      </c>
      <c r="M55" s="30" t="str">
        <f t="shared" si="12"/>
        <v/>
      </c>
      <c r="N55" s="30" t="str">
        <f t="shared" si="12"/>
        <v/>
      </c>
      <c r="O55" s="30" t="str">
        <f t="shared" si="12"/>
        <v/>
      </c>
      <c r="P55" s="30" t="str">
        <f t="shared" si="12"/>
        <v/>
      </c>
      <c r="Q55" s="30" t="str">
        <f t="shared" si="12"/>
        <v/>
      </c>
      <c r="R55" s="30" t="str">
        <f t="shared" si="12"/>
        <v/>
      </c>
      <c r="S55" s="30" t="str">
        <f t="shared" si="12"/>
        <v/>
      </c>
      <c r="T55" s="30" t="str">
        <f t="shared" si="13"/>
        <v/>
      </c>
      <c r="U55" s="30" t="str">
        <f t="shared" si="13"/>
        <v/>
      </c>
      <c r="V55" s="30" t="str">
        <f t="shared" si="13"/>
        <v/>
      </c>
      <c r="W55" s="30" t="str">
        <f t="shared" si="13"/>
        <v/>
      </c>
      <c r="X55" s="30">
        <f t="shared" si="13"/>
        <v>1</v>
      </c>
      <c r="Y55" s="30">
        <f t="shared" si="13"/>
        <v>1</v>
      </c>
      <c r="Z55" s="30">
        <f t="shared" si="13"/>
        <v>1</v>
      </c>
      <c r="AA55" s="30">
        <f t="shared" si="13"/>
        <v>1</v>
      </c>
      <c r="AB55" s="30" t="str">
        <f t="shared" si="13"/>
        <v/>
      </c>
      <c r="AC55" s="30" t="str">
        <f t="shared" si="13"/>
        <v/>
      </c>
      <c r="AD55" s="30" t="str">
        <f t="shared" si="13"/>
        <v/>
      </c>
      <c r="AE55" s="30" t="str">
        <f t="shared" si="13"/>
        <v/>
      </c>
      <c r="AF55" s="30" t="str">
        <f t="shared" si="13"/>
        <v/>
      </c>
    </row>
    <row r="56" spans="1:32" ht="20" customHeight="1" x14ac:dyDescent="0.2">
      <c r="A56" s="24" t="s">
        <v>132</v>
      </c>
      <c r="B56" s="25" t="s">
        <v>133</v>
      </c>
      <c r="C56" s="26"/>
      <c r="D56" s="27">
        <f>MIN(D57:D61)</f>
        <v>46352</v>
      </c>
      <c r="E56" s="27">
        <f>MAX(E57:E61)</f>
        <v>46406</v>
      </c>
      <c r="F56" s="26">
        <f t="shared" si="11"/>
        <v>55</v>
      </c>
      <c r="G56" s="28">
        <f>IFERROR(COUNTIFS(G57:G61,"erledigt",H57:H61,"&lt;&gt;G")/COUNTIFS(H57:H61,"&lt;&gt;G"),0)</f>
        <v>0</v>
      </c>
      <c r="H56" s="29" t="s">
        <v>50</v>
      </c>
      <c r="I56" s="2"/>
      <c r="J56" s="30" t="str">
        <f t="shared" si="12"/>
        <v/>
      </c>
      <c r="K56" s="30" t="str">
        <f t="shared" si="12"/>
        <v/>
      </c>
      <c r="L56" s="30" t="str">
        <f t="shared" si="12"/>
        <v/>
      </c>
      <c r="M56" s="30" t="str">
        <f t="shared" si="12"/>
        <v/>
      </c>
      <c r="N56" s="30" t="str">
        <f t="shared" si="12"/>
        <v/>
      </c>
      <c r="O56" s="30" t="str">
        <f t="shared" si="12"/>
        <v/>
      </c>
      <c r="P56" s="30">
        <f t="shared" si="12"/>
        <v>1</v>
      </c>
      <c r="Q56" s="30">
        <f t="shared" si="12"/>
        <v>1</v>
      </c>
      <c r="R56" s="30">
        <f t="shared" si="12"/>
        <v>1</v>
      </c>
      <c r="S56" s="30">
        <f t="shared" si="12"/>
        <v>1</v>
      </c>
      <c r="T56" s="30">
        <f t="shared" si="13"/>
        <v>1</v>
      </c>
      <c r="U56" s="30">
        <f t="shared" si="13"/>
        <v>1</v>
      </c>
      <c r="V56" s="30">
        <f t="shared" si="13"/>
        <v>1</v>
      </c>
      <c r="W56" s="30">
        <f t="shared" si="13"/>
        <v>1</v>
      </c>
      <c r="X56" s="30">
        <f t="shared" si="13"/>
        <v>1</v>
      </c>
      <c r="Y56" s="30" t="str">
        <f t="shared" si="13"/>
        <v/>
      </c>
      <c r="Z56" s="30" t="str">
        <f t="shared" si="13"/>
        <v/>
      </c>
      <c r="AA56" s="30" t="str">
        <f t="shared" si="13"/>
        <v/>
      </c>
      <c r="AB56" s="30" t="str">
        <f t="shared" si="13"/>
        <v/>
      </c>
      <c r="AC56" s="30" t="str">
        <f t="shared" si="13"/>
        <v/>
      </c>
      <c r="AD56" s="30" t="str">
        <f t="shared" si="13"/>
        <v/>
      </c>
      <c r="AE56" s="30" t="str">
        <f t="shared" si="13"/>
        <v/>
      </c>
      <c r="AF56" s="30" t="str">
        <f t="shared" si="13"/>
        <v/>
      </c>
    </row>
    <row r="57" spans="1:32" ht="17" customHeight="1" outlineLevel="1" x14ac:dyDescent="0.2">
      <c r="A57" s="31" t="s">
        <v>134</v>
      </c>
      <c r="B57" s="32" t="s">
        <v>248</v>
      </c>
      <c r="C57" s="33" t="s">
        <v>3</v>
      </c>
      <c r="D57" s="34">
        <v>46352</v>
      </c>
      <c r="E57" s="34">
        <v>46373</v>
      </c>
      <c r="F57" s="33">
        <f t="shared" si="11"/>
        <v>22</v>
      </c>
      <c r="G57" s="33" t="s">
        <v>6</v>
      </c>
      <c r="H57" s="35" t="s">
        <v>53</v>
      </c>
      <c r="I57" s="2"/>
      <c r="J57" s="30" t="str">
        <f t="shared" si="12"/>
        <v/>
      </c>
      <c r="K57" s="30" t="str">
        <f t="shared" si="12"/>
        <v/>
      </c>
      <c r="L57" s="30" t="str">
        <f t="shared" si="12"/>
        <v/>
      </c>
      <c r="M57" s="30" t="str">
        <f t="shared" si="12"/>
        <v/>
      </c>
      <c r="N57" s="30" t="str">
        <f t="shared" si="12"/>
        <v/>
      </c>
      <c r="O57" s="30" t="str">
        <f t="shared" si="12"/>
        <v/>
      </c>
      <c r="P57" s="30">
        <f t="shared" si="12"/>
        <v>1</v>
      </c>
      <c r="Q57" s="30">
        <f t="shared" si="12"/>
        <v>1</v>
      </c>
      <c r="R57" s="30">
        <f t="shared" si="12"/>
        <v>1</v>
      </c>
      <c r="S57" s="30">
        <f t="shared" si="12"/>
        <v>1</v>
      </c>
      <c r="T57" s="30" t="str">
        <f t="shared" si="13"/>
        <v/>
      </c>
      <c r="U57" s="30" t="str">
        <f t="shared" si="13"/>
        <v/>
      </c>
      <c r="V57" s="30" t="str">
        <f t="shared" si="13"/>
        <v/>
      </c>
      <c r="W57" s="30" t="str">
        <f t="shared" si="13"/>
        <v/>
      </c>
      <c r="X57" s="30" t="str">
        <f t="shared" si="13"/>
        <v/>
      </c>
      <c r="Y57" s="30" t="str">
        <f t="shared" si="13"/>
        <v/>
      </c>
      <c r="Z57" s="30" t="str">
        <f t="shared" si="13"/>
        <v/>
      </c>
      <c r="AA57" s="30" t="str">
        <f t="shared" si="13"/>
        <v/>
      </c>
      <c r="AB57" s="30" t="str">
        <f t="shared" si="13"/>
        <v/>
      </c>
      <c r="AC57" s="30" t="str">
        <f t="shared" si="13"/>
        <v/>
      </c>
      <c r="AD57" s="30" t="str">
        <f t="shared" si="13"/>
        <v/>
      </c>
      <c r="AE57" s="30" t="str">
        <f t="shared" si="13"/>
        <v/>
      </c>
      <c r="AF57" s="30" t="str">
        <f t="shared" si="13"/>
        <v/>
      </c>
    </row>
    <row r="58" spans="1:32" ht="17" customHeight="1" outlineLevel="1" x14ac:dyDescent="0.2">
      <c r="A58" s="31" t="s">
        <v>135</v>
      </c>
      <c r="B58" s="32" t="s">
        <v>136</v>
      </c>
      <c r="C58" s="33" t="s">
        <v>5</v>
      </c>
      <c r="D58" s="34">
        <v>46363</v>
      </c>
      <c r="E58" s="34">
        <v>46406</v>
      </c>
      <c r="F58" s="33">
        <f t="shared" si="11"/>
        <v>44</v>
      </c>
      <c r="G58" s="33" t="s">
        <v>6</v>
      </c>
      <c r="H58" s="35" t="s">
        <v>53</v>
      </c>
      <c r="I58" s="2"/>
      <c r="J58" s="30" t="str">
        <f t="shared" ref="J58:S64" si="14">IF(AND($D58&lt;=J$6,$E58&gt;=J$5),1,"")</f>
        <v/>
      </c>
      <c r="K58" s="30" t="str">
        <f t="shared" si="14"/>
        <v/>
      </c>
      <c r="L58" s="30" t="str">
        <f t="shared" si="14"/>
        <v/>
      </c>
      <c r="M58" s="30" t="str">
        <f t="shared" si="14"/>
        <v/>
      </c>
      <c r="N58" s="30" t="str">
        <f t="shared" si="14"/>
        <v/>
      </c>
      <c r="O58" s="30" t="str">
        <f t="shared" si="14"/>
        <v/>
      </c>
      <c r="P58" s="30" t="str">
        <f t="shared" si="14"/>
        <v/>
      </c>
      <c r="Q58" s="30" t="str">
        <f t="shared" si="14"/>
        <v/>
      </c>
      <c r="R58" s="30">
        <f t="shared" si="14"/>
        <v>1</v>
      </c>
      <c r="S58" s="30">
        <f t="shared" si="14"/>
        <v>1</v>
      </c>
      <c r="T58" s="30">
        <f t="shared" ref="T58:AF64" si="15">IF(AND($D58&lt;=T$6,$E58&gt;=T$5),1,"")</f>
        <v>1</v>
      </c>
      <c r="U58" s="30">
        <f t="shared" si="15"/>
        <v>1</v>
      </c>
      <c r="V58" s="30">
        <f t="shared" si="15"/>
        <v>1</v>
      </c>
      <c r="W58" s="30">
        <f t="shared" si="15"/>
        <v>1</v>
      </c>
      <c r="X58" s="30">
        <f t="shared" si="15"/>
        <v>1</v>
      </c>
      <c r="Y58" s="30" t="str">
        <f t="shared" si="15"/>
        <v/>
      </c>
      <c r="Z58" s="30" t="str">
        <f t="shared" si="15"/>
        <v/>
      </c>
      <c r="AA58" s="30" t="str">
        <f t="shared" si="15"/>
        <v/>
      </c>
      <c r="AB58" s="30" t="str">
        <f t="shared" si="15"/>
        <v/>
      </c>
      <c r="AC58" s="30" t="str">
        <f t="shared" si="15"/>
        <v/>
      </c>
      <c r="AD58" s="30" t="str">
        <f t="shared" si="15"/>
        <v/>
      </c>
      <c r="AE58" s="30" t="str">
        <f t="shared" si="15"/>
        <v/>
      </c>
      <c r="AF58" s="30" t="str">
        <f t="shared" si="15"/>
        <v/>
      </c>
    </row>
    <row r="59" spans="1:32" ht="17" customHeight="1" outlineLevel="1" x14ac:dyDescent="0.2">
      <c r="A59" s="31" t="s">
        <v>137</v>
      </c>
      <c r="B59" s="32" t="s">
        <v>138</v>
      </c>
      <c r="C59" s="33" t="s">
        <v>5</v>
      </c>
      <c r="D59" s="34">
        <v>46363</v>
      </c>
      <c r="E59" s="34">
        <v>46406</v>
      </c>
      <c r="F59" s="33">
        <f t="shared" si="11"/>
        <v>44</v>
      </c>
      <c r="G59" s="33" t="s">
        <v>6</v>
      </c>
      <c r="H59" s="35" t="s">
        <v>53</v>
      </c>
      <c r="I59" s="2"/>
      <c r="J59" s="30" t="str">
        <f t="shared" si="14"/>
        <v/>
      </c>
      <c r="K59" s="30" t="str">
        <f t="shared" si="14"/>
        <v/>
      </c>
      <c r="L59" s="30" t="str">
        <f t="shared" si="14"/>
        <v/>
      </c>
      <c r="M59" s="30" t="str">
        <f t="shared" si="14"/>
        <v/>
      </c>
      <c r="N59" s="30" t="str">
        <f t="shared" si="14"/>
        <v/>
      </c>
      <c r="O59" s="30" t="str">
        <f t="shared" si="14"/>
        <v/>
      </c>
      <c r="P59" s="30" t="str">
        <f t="shared" si="14"/>
        <v/>
      </c>
      <c r="Q59" s="30" t="str">
        <f t="shared" si="14"/>
        <v/>
      </c>
      <c r="R59" s="30">
        <f t="shared" si="14"/>
        <v>1</v>
      </c>
      <c r="S59" s="30">
        <f t="shared" si="14"/>
        <v>1</v>
      </c>
      <c r="T59" s="30">
        <f t="shared" si="15"/>
        <v>1</v>
      </c>
      <c r="U59" s="30">
        <f t="shared" si="15"/>
        <v>1</v>
      </c>
      <c r="V59" s="30">
        <f t="shared" si="15"/>
        <v>1</v>
      </c>
      <c r="W59" s="30">
        <f t="shared" si="15"/>
        <v>1</v>
      </c>
      <c r="X59" s="30">
        <f t="shared" si="15"/>
        <v>1</v>
      </c>
      <c r="Y59" s="30" t="str">
        <f t="shared" si="15"/>
        <v/>
      </c>
      <c r="Z59" s="30" t="str">
        <f t="shared" si="15"/>
        <v/>
      </c>
      <c r="AA59" s="30" t="str">
        <f t="shared" si="15"/>
        <v/>
      </c>
      <c r="AB59" s="30" t="str">
        <f t="shared" si="15"/>
        <v/>
      </c>
      <c r="AC59" s="30" t="str">
        <f t="shared" si="15"/>
        <v/>
      </c>
      <c r="AD59" s="30" t="str">
        <f t="shared" si="15"/>
        <v/>
      </c>
      <c r="AE59" s="30" t="str">
        <f t="shared" si="15"/>
        <v/>
      </c>
      <c r="AF59" s="30" t="str">
        <f t="shared" si="15"/>
        <v/>
      </c>
    </row>
    <row r="60" spans="1:32" ht="17" customHeight="1" outlineLevel="1" x14ac:dyDescent="0.2">
      <c r="A60" s="31" t="s">
        <v>139</v>
      </c>
      <c r="B60" s="32" t="s">
        <v>140</v>
      </c>
      <c r="C60" s="33" t="s">
        <v>5</v>
      </c>
      <c r="D60" s="34">
        <v>46363</v>
      </c>
      <c r="E60" s="34">
        <v>46406</v>
      </c>
      <c r="F60" s="33">
        <f t="shared" si="11"/>
        <v>44</v>
      </c>
      <c r="G60" s="33" t="s">
        <v>6</v>
      </c>
      <c r="H60" s="35" t="s">
        <v>53</v>
      </c>
      <c r="I60" s="2"/>
      <c r="J60" s="30" t="str">
        <f t="shared" si="14"/>
        <v/>
      </c>
      <c r="K60" s="30" t="str">
        <f t="shared" si="14"/>
        <v/>
      </c>
      <c r="L60" s="30" t="str">
        <f t="shared" si="14"/>
        <v/>
      </c>
      <c r="M60" s="30" t="str">
        <f t="shared" si="14"/>
        <v/>
      </c>
      <c r="N60" s="30" t="str">
        <f t="shared" si="14"/>
        <v/>
      </c>
      <c r="O60" s="30" t="str">
        <f t="shared" si="14"/>
        <v/>
      </c>
      <c r="P60" s="30" t="str">
        <f t="shared" si="14"/>
        <v/>
      </c>
      <c r="Q60" s="30" t="str">
        <f t="shared" si="14"/>
        <v/>
      </c>
      <c r="R60" s="30">
        <f t="shared" si="14"/>
        <v>1</v>
      </c>
      <c r="S60" s="30">
        <f t="shared" si="14"/>
        <v>1</v>
      </c>
      <c r="T60" s="30">
        <f t="shared" si="15"/>
        <v>1</v>
      </c>
      <c r="U60" s="30">
        <f t="shared" si="15"/>
        <v>1</v>
      </c>
      <c r="V60" s="30">
        <f t="shared" si="15"/>
        <v>1</v>
      </c>
      <c r="W60" s="30">
        <f t="shared" si="15"/>
        <v>1</v>
      </c>
      <c r="X60" s="30">
        <f t="shared" si="15"/>
        <v>1</v>
      </c>
      <c r="Y60" s="30" t="str">
        <f t="shared" si="15"/>
        <v/>
      </c>
      <c r="Z60" s="30" t="str">
        <f t="shared" si="15"/>
        <v/>
      </c>
      <c r="AA60" s="30" t="str">
        <f t="shared" si="15"/>
        <v/>
      </c>
      <c r="AB60" s="30" t="str">
        <f t="shared" si="15"/>
        <v/>
      </c>
      <c r="AC60" s="30" t="str">
        <f t="shared" si="15"/>
        <v/>
      </c>
      <c r="AD60" s="30" t="str">
        <f t="shared" si="15"/>
        <v/>
      </c>
      <c r="AE60" s="30" t="str">
        <f t="shared" si="15"/>
        <v/>
      </c>
      <c r="AF60" s="30" t="str">
        <f t="shared" si="15"/>
        <v/>
      </c>
    </row>
    <row r="61" spans="1:32" ht="17" customHeight="1" outlineLevel="1" x14ac:dyDescent="0.2">
      <c r="A61" s="31" t="s">
        <v>141</v>
      </c>
      <c r="B61" s="32" t="s">
        <v>142</v>
      </c>
      <c r="C61" s="33" t="s">
        <v>5</v>
      </c>
      <c r="D61" s="34">
        <v>46363</v>
      </c>
      <c r="E61" s="34">
        <v>46406</v>
      </c>
      <c r="F61" s="33">
        <f t="shared" si="11"/>
        <v>44</v>
      </c>
      <c r="G61" s="33" t="s">
        <v>6</v>
      </c>
      <c r="H61" s="35" t="s">
        <v>53</v>
      </c>
      <c r="I61" s="2"/>
      <c r="J61" s="30" t="str">
        <f t="shared" si="14"/>
        <v/>
      </c>
      <c r="K61" s="30" t="str">
        <f t="shared" si="14"/>
        <v/>
      </c>
      <c r="L61" s="30" t="str">
        <f t="shared" si="14"/>
        <v/>
      </c>
      <c r="M61" s="30" t="str">
        <f t="shared" si="14"/>
        <v/>
      </c>
      <c r="N61" s="30" t="str">
        <f t="shared" si="14"/>
        <v/>
      </c>
      <c r="O61" s="30" t="str">
        <f t="shared" si="14"/>
        <v/>
      </c>
      <c r="P61" s="30" t="str">
        <f t="shared" si="14"/>
        <v/>
      </c>
      <c r="Q61" s="30" t="str">
        <f t="shared" si="14"/>
        <v/>
      </c>
      <c r="R61" s="30">
        <f t="shared" si="14"/>
        <v>1</v>
      </c>
      <c r="S61" s="30">
        <f t="shared" si="14"/>
        <v>1</v>
      </c>
      <c r="T61" s="30">
        <f t="shared" si="15"/>
        <v>1</v>
      </c>
      <c r="U61" s="30">
        <f t="shared" si="15"/>
        <v>1</v>
      </c>
      <c r="V61" s="30">
        <f t="shared" si="15"/>
        <v>1</v>
      </c>
      <c r="W61" s="30">
        <f t="shared" si="15"/>
        <v>1</v>
      </c>
      <c r="X61" s="30">
        <f t="shared" si="15"/>
        <v>1</v>
      </c>
      <c r="Y61" s="30" t="str">
        <f t="shared" si="15"/>
        <v/>
      </c>
      <c r="Z61" s="30" t="str">
        <f t="shared" si="15"/>
        <v/>
      </c>
      <c r="AA61" s="30" t="str">
        <f t="shared" si="15"/>
        <v/>
      </c>
      <c r="AB61" s="30" t="str">
        <f t="shared" si="15"/>
        <v/>
      </c>
      <c r="AC61" s="30" t="str">
        <f t="shared" si="15"/>
        <v/>
      </c>
      <c r="AD61" s="30" t="str">
        <f t="shared" si="15"/>
        <v/>
      </c>
      <c r="AE61" s="30" t="str">
        <f t="shared" si="15"/>
        <v/>
      </c>
      <c r="AF61" s="30" t="str">
        <f t="shared" si="15"/>
        <v/>
      </c>
    </row>
    <row r="62" spans="1:32" ht="20" customHeight="1" x14ac:dyDescent="0.2">
      <c r="A62" s="24" t="s">
        <v>143</v>
      </c>
      <c r="B62" s="25" t="s">
        <v>144</v>
      </c>
      <c r="C62" s="26"/>
      <c r="D62" s="27">
        <f>MIN(D63:D66)</f>
        <v>46401</v>
      </c>
      <c r="E62" s="27">
        <f>MAX(E63:E66)</f>
        <v>46415</v>
      </c>
      <c r="F62" s="26">
        <f t="shared" si="11"/>
        <v>15</v>
      </c>
      <c r="G62" s="28">
        <f>IFERROR(COUNTIFS(G63:G66,"erledigt",H63:H66,"&lt;&gt;G")/COUNTIFS(H63:H66,"&lt;&gt;G"),0)</f>
        <v>0</v>
      </c>
      <c r="H62" s="29" t="s">
        <v>50</v>
      </c>
      <c r="I62" s="2"/>
      <c r="J62" s="30" t="str">
        <f t="shared" si="14"/>
        <v/>
      </c>
      <c r="K62" s="30" t="str">
        <f t="shared" si="14"/>
        <v/>
      </c>
      <c r="L62" s="30" t="str">
        <f t="shared" si="14"/>
        <v/>
      </c>
      <c r="M62" s="30" t="str">
        <f t="shared" si="14"/>
        <v/>
      </c>
      <c r="N62" s="30" t="str">
        <f t="shared" si="14"/>
        <v/>
      </c>
      <c r="O62" s="30" t="str">
        <f t="shared" si="14"/>
        <v/>
      </c>
      <c r="P62" s="30" t="str">
        <f t="shared" si="14"/>
        <v/>
      </c>
      <c r="Q62" s="30" t="str">
        <f t="shared" si="14"/>
        <v/>
      </c>
      <c r="R62" s="30" t="str">
        <f t="shared" si="14"/>
        <v/>
      </c>
      <c r="S62" s="30" t="str">
        <f t="shared" si="14"/>
        <v/>
      </c>
      <c r="T62" s="30" t="str">
        <f t="shared" si="15"/>
        <v/>
      </c>
      <c r="U62" s="30" t="str">
        <f t="shared" si="15"/>
        <v/>
      </c>
      <c r="V62" s="30" t="str">
        <f t="shared" si="15"/>
        <v/>
      </c>
      <c r="W62" s="30">
        <f t="shared" si="15"/>
        <v>1</v>
      </c>
      <c r="X62" s="30">
        <f t="shared" si="15"/>
        <v>1</v>
      </c>
      <c r="Y62" s="30">
        <f t="shared" si="15"/>
        <v>1</v>
      </c>
      <c r="Z62" s="30" t="str">
        <f t="shared" si="15"/>
        <v/>
      </c>
      <c r="AA62" s="30" t="str">
        <f t="shared" si="15"/>
        <v/>
      </c>
      <c r="AB62" s="30" t="str">
        <f t="shared" si="15"/>
        <v/>
      </c>
      <c r="AC62" s="30" t="str">
        <f t="shared" si="15"/>
        <v/>
      </c>
      <c r="AD62" s="30" t="str">
        <f t="shared" si="15"/>
        <v/>
      </c>
      <c r="AE62" s="30" t="str">
        <f t="shared" si="15"/>
        <v/>
      </c>
      <c r="AF62" s="30" t="str">
        <f t="shared" si="15"/>
        <v/>
      </c>
    </row>
    <row r="63" spans="1:32" ht="17" customHeight="1" outlineLevel="1" x14ac:dyDescent="0.2">
      <c r="A63" s="31" t="s">
        <v>145</v>
      </c>
      <c r="B63" s="32" t="s">
        <v>146</v>
      </c>
      <c r="C63" s="33" t="s">
        <v>5</v>
      </c>
      <c r="D63" s="34">
        <v>46401</v>
      </c>
      <c r="E63" s="34">
        <v>46412</v>
      </c>
      <c r="F63" s="33">
        <f t="shared" si="11"/>
        <v>12</v>
      </c>
      <c r="G63" s="33" t="s">
        <v>6</v>
      </c>
      <c r="H63" s="35" t="s">
        <v>53</v>
      </c>
      <c r="I63" s="2"/>
      <c r="J63" s="30" t="str">
        <f t="shared" si="14"/>
        <v/>
      </c>
      <c r="K63" s="30" t="str">
        <f t="shared" si="14"/>
        <v/>
      </c>
      <c r="L63" s="30" t="str">
        <f t="shared" si="14"/>
        <v/>
      </c>
      <c r="M63" s="30" t="str">
        <f t="shared" si="14"/>
        <v/>
      </c>
      <c r="N63" s="30" t="str">
        <f t="shared" si="14"/>
        <v/>
      </c>
      <c r="O63" s="30" t="str">
        <f t="shared" si="14"/>
        <v/>
      </c>
      <c r="P63" s="30" t="str">
        <f t="shared" si="14"/>
        <v/>
      </c>
      <c r="Q63" s="30" t="str">
        <f t="shared" si="14"/>
        <v/>
      </c>
      <c r="R63" s="30" t="str">
        <f t="shared" si="14"/>
        <v/>
      </c>
      <c r="S63" s="30" t="str">
        <f t="shared" si="14"/>
        <v/>
      </c>
      <c r="T63" s="30" t="str">
        <f t="shared" si="15"/>
        <v/>
      </c>
      <c r="U63" s="30" t="str">
        <f t="shared" si="15"/>
        <v/>
      </c>
      <c r="V63" s="30" t="str">
        <f t="shared" si="15"/>
        <v/>
      </c>
      <c r="W63" s="30">
        <f t="shared" si="15"/>
        <v>1</v>
      </c>
      <c r="X63" s="30">
        <f t="shared" si="15"/>
        <v>1</v>
      </c>
      <c r="Y63" s="30">
        <f t="shared" si="15"/>
        <v>1</v>
      </c>
      <c r="Z63" s="30" t="str">
        <f t="shared" si="15"/>
        <v/>
      </c>
      <c r="AA63" s="30" t="str">
        <f t="shared" si="15"/>
        <v/>
      </c>
      <c r="AB63" s="30" t="str">
        <f t="shared" si="15"/>
        <v/>
      </c>
      <c r="AC63" s="30" t="str">
        <f t="shared" si="15"/>
        <v/>
      </c>
      <c r="AD63" s="30" t="str">
        <f t="shared" si="15"/>
        <v/>
      </c>
      <c r="AE63" s="30" t="str">
        <f t="shared" si="15"/>
        <v/>
      </c>
      <c r="AF63" s="30" t="str">
        <f t="shared" si="15"/>
        <v/>
      </c>
    </row>
    <row r="64" spans="1:32" ht="17" customHeight="1" outlineLevel="1" x14ac:dyDescent="0.2">
      <c r="A64" s="31" t="s">
        <v>147</v>
      </c>
      <c r="B64" s="32" t="s">
        <v>148</v>
      </c>
      <c r="C64" s="33" t="s">
        <v>5</v>
      </c>
      <c r="D64" s="34">
        <v>46413</v>
      </c>
      <c r="E64" s="34">
        <v>46413</v>
      </c>
      <c r="F64" s="33">
        <f t="shared" si="11"/>
        <v>1</v>
      </c>
      <c r="G64" s="33" t="s">
        <v>6</v>
      </c>
      <c r="H64" s="35" t="s">
        <v>53</v>
      </c>
      <c r="I64" s="2"/>
      <c r="J64" s="30" t="str">
        <f t="shared" si="14"/>
        <v/>
      </c>
      <c r="K64" s="30" t="str">
        <f t="shared" si="14"/>
        <v/>
      </c>
      <c r="L64" s="30" t="str">
        <f t="shared" si="14"/>
        <v/>
      </c>
      <c r="M64" s="30" t="str">
        <f t="shared" si="14"/>
        <v/>
      </c>
      <c r="N64" s="30" t="str">
        <f t="shared" si="14"/>
        <v/>
      </c>
      <c r="O64" s="30" t="str">
        <f t="shared" si="14"/>
        <v/>
      </c>
      <c r="P64" s="30" t="str">
        <f t="shared" si="14"/>
        <v/>
      </c>
      <c r="Q64" s="30" t="str">
        <f t="shared" si="14"/>
        <v/>
      </c>
      <c r="R64" s="30" t="str">
        <f t="shared" si="14"/>
        <v/>
      </c>
      <c r="S64" s="30" t="str">
        <f t="shared" si="14"/>
        <v/>
      </c>
      <c r="T64" s="30" t="str">
        <f t="shared" si="15"/>
        <v/>
      </c>
      <c r="U64" s="30" t="str">
        <f t="shared" si="15"/>
        <v/>
      </c>
      <c r="V64" s="30" t="str">
        <f t="shared" si="15"/>
        <v/>
      </c>
      <c r="W64" s="30" t="str">
        <f t="shared" si="15"/>
        <v/>
      </c>
      <c r="X64" s="30" t="str">
        <f t="shared" si="15"/>
        <v/>
      </c>
      <c r="Y64" s="30">
        <f t="shared" si="15"/>
        <v>1</v>
      </c>
      <c r="Z64" s="30" t="str">
        <f t="shared" si="15"/>
        <v/>
      </c>
      <c r="AA64" s="30" t="str">
        <f t="shared" si="15"/>
        <v/>
      </c>
      <c r="AB64" s="30" t="str">
        <f t="shared" si="15"/>
        <v/>
      </c>
      <c r="AC64" s="30" t="str">
        <f t="shared" si="15"/>
        <v/>
      </c>
      <c r="AD64" s="30" t="str">
        <f t="shared" si="15"/>
        <v/>
      </c>
      <c r="AE64" s="30" t="str">
        <f t="shared" si="15"/>
        <v/>
      </c>
      <c r="AF64" s="30" t="str">
        <f t="shared" si="15"/>
        <v/>
      </c>
    </row>
    <row r="65" spans="1:32" ht="17" customHeight="1" outlineLevel="1" x14ac:dyDescent="0.2">
      <c r="A65" s="31" t="s">
        <v>149</v>
      </c>
      <c r="B65" s="45" t="s">
        <v>150</v>
      </c>
      <c r="C65" s="33" t="s">
        <v>5</v>
      </c>
      <c r="D65" s="46">
        <f>Termine!$B$13</f>
        <v>46414</v>
      </c>
      <c r="E65" s="46">
        <f>D65</f>
        <v>46414</v>
      </c>
      <c r="F65" s="33" t="str">
        <f t="shared" si="11"/>
        <v/>
      </c>
      <c r="G65" s="33" t="s">
        <v>6</v>
      </c>
      <c r="H65" s="35" t="s">
        <v>151</v>
      </c>
      <c r="I65" s="2"/>
      <c r="J65" s="47" t="str">
        <f t="shared" ref="J65:S66" si="16">IF(AND($D65&gt;=J$5,$D65&lt;=J$6),"◆ "&amp;MID("MoDiMiDoFrSaSo",WEEKDAY($D65,2)*2-1,2),"")</f>
        <v/>
      </c>
      <c r="K65" s="47" t="str">
        <f t="shared" si="16"/>
        <v/>
      </c>
      <c r="L65" s="47" t="str">
        <f t="shared" si="16"/>
        <v/>
      </c>
      <c r="M65" s="47" t="str">
        <f t="shared" si="16"/>
        <v/>
      </c>
      <c r="N65" s="47" t="str">
        <f t="shared" si="16"/>
        <v/>
      </c>
      <c r="O65" s="47" t="str">
        <f t="shared" si="16"/>
        <v/>
      </c>
      <c r="P65" s="47" t="str">
        <f t="shared" si="16"/>
        <v/>
      </c>
      <c r="Q65" s="47" t="str">
        <f t="shared" si="16"/>
        <v/>
      </c>
      <c r="R65" s="47" t="str">
        <f t="shared" si="16"/>
        <v/>
      </c>
      <c r="S65" s="47" t="str">
        <f t="shared" si="16"/>
        <v/>
      </c>
      <c r="T65" s="47" t="str">
        <f t="shared" ref="T65:AF66" si="17">IF(AND($D65&gt;=T$5,$D65&lt;=T$6),"◆ "&amp;MID("MoDiMiDoFrSaSo",WEEKDAY($D65,2)*2-1,2),"")</f>
        <v/>
      </c>
      <c r="U65" s="47" t="str">
        <f t="shared" si="17"/>
        <v/>
      </c>
      <c r="V65" s="47" t="str">
        <f t="shared" si="17"/>
        <v/>
      </c>
      <c r="W65" s="47" t="str">
        <f t="shared" si="17"/>
        <v/>
      </c>
      <c r="X65" s="47" t="str">
        <f t="shared" si="17"/>
        <v/>
      </c>
      <c r="Y65" s="47" t="str">
        <f t="shared" si="17"/>
        <v>◆ Mi</v>
      </c>
      <c r="Z65" s="47" t="str">
        <f t="shared" si="17"/>
        <v/>
      </c>
      <c r="AA65" s="47" t="str">
        <f t="shared" si="17"/>
        <v/>
      </c>
      <c r="AB65" s="47" t="str">
        <f t="shared" si="17"/>
        <v/>
      </c>
      <c r="AC65" s="47" t="str">
        <f t="shared" si="17"/>
        <v/>
      </c>
      <c r="AD65" s="47" t="str">
        <f t="shared" si="17"/>
        <v/>
      </c>
      <c r="AE65" s="47" t="str">
        <f t="shared" si="17"/>
        <v/>
      </c>
      <c r="AF65" s="47" t="str">
        <f t="shared" si="17"/>
        <v/>
      </c>
    </row>
    <row r="66" spans="1:32" ht="17" customHeight="1" outlineLevel="1" x14ac:dyDescent="0.2">
      <c r="A66" s="31" t="s">
        <v>152</v>
      </c>
      <c r="B66" s="45" t="s">
        <v>153</v>
      </c>
      <c r="C66" s="33" t="s">
        <v>5</v>
      </c>
      <c r="D66" s="46">
        <f>Termine!$B$14</f>
        <v>46415</v>
      </c>
      <c r="E66" s="46">
        <f>D66</f>
        <v>46415</v>
      </c>
      <c r="F66" s="33" t="str">
        <f t="shared" si="11"/>
        <v/>
      </c>
      <c r="G66" s="33" t="s">
        <v>6</v>
      </c>
      <c r="H66" s="35" t="s">
        <v>151</v>
      </c>
      <c r="I66" s="2"/>
      <c r="J66" s="47" t="str">
        <f t="shared" si="16"/>
        <v/>
      </c>
      <c r="K66" s="47" t="str">
        <f t="shared" si="16"/>
        <v/>
      </c>
      <c r="L66" s="47" t="str">
        <f t="shared" si="16"/>
        <v/>
      </c>
      <c r="M66" s="47" t="str">
        <f t="shared" si="16"/>
        <v/>
      </c>
      <c r="N66" s="47" t="str">
        <f t="shared" si="16"/>
        <v/>
      </c>
      <c r="O66" s="47" t="str">
        <f t="shared" si="16"/>
        <v/>
      </c>
      <c r="P66" s="47" t="str">
        <f t="shared" si="16"/>
        <v/>
      </c>
      <c r="Q66" s="47" t="str">
        <f t="shared" si="16"/>
        <v/>
      </c>
      <c r="R66" s="47" t="str">
        <f t="shared" si="16"/>
        <v/>
      </c>
      <c r="S66" s="47" t="str">
        <f t="shared" si="16"/>
        <v/>
      </c>
      <c r="T66" s="47" t="str">
        <f t="shared" si="17"/>
        <v/>
      </c>
      <c r="U66" s="47" t="str">
        <f t="shared" si="17"/>
        <v/>
      </c>
      <c r="V66" s="47" t="str">
        <f t="shared" si="17"/>
        <v/>
      </c>
      <c r="W66" s="47" t="str">
        <f t="shared" si="17"/>
        <v/>
      </c>
      <c r="X66" s="47" t="str">
        <f t="shared" si="17"/>
        <v/>
      </c>
      <c r="Y66" s="47" t="str">
        <f t="shared" si="17"/>
        <v>◆ Do</v>
      </c>
      <c r="Z66" s="47" t="str">
        <f t="shared" si="17"/>
        <v/>
      </c>
      <c r="AA66" s="47" t="str">
        <f t="shared" si="17"/>
        <v/>
      </c>
      <c r="AB66" s="47" t="str">
        <f t="shared" si="17"/>
        <v/>
      </c>
      <c r="AC66" s="47" t="str">
        <f t="shared" si="17"/>
        <v/>
      </c>
      <c r="AD66" s="47" t="str">
        <f t="shared" si="17"/>
        <v/>
      </c>
      <c r="AE66" s="47" t="str">
        <f t="shared" si="17"/>
        <v/>
      </c>
      <c r="AF66" s="47" t="str">
        <f t="shared" si="17"/>
        <v/>
      </c>
    </row>
    <row r="67" spans="1:32" ht="20" customHeight="1" x14ac:dyDescent="0.2">
      <c r="A67" s="24" t="s">
        <v>154</v>
      </c>
      <c r="B67" s="25" t="s">
        <v>155</v>
      </c>
      <c r="C67" s="26"/>
      <c r="D67" s="27">
        <f>MIN(D68:D85)</f>
        <v>46310</v>
      </c>
      <c r="E67" s="27">
        <f>MAX(E68:E85)</f>
        <v>46461</v>
      </c>
      <c r="F67" s="26">
        <f t="shared" si="11"/>
        <v>152</v>
      </c>
      <c r="G67" s="28">
        <f>IFERROR(COUNTIFS(G68:G85,"erledigt",H68:H85,"&lt;&gt;G")/COUNTIFS(H68:H85,"&lt;&gt;G"),0)</f>
        <v>0</v>
      </c>
      <c r="H67" s="29" t="s">
        <v>50</v>
      </c>
      <c r="I67" s="2"/>
      <c r="J67" s="30">
        <f t="shared" ref="J67:AF67" si="18">IF(AND($D67&lt;=J$6,$E67&gt;=J$5),1,"")</f>
        <v>1</v>
      </c>
      <c r="K67" s="30">
        <f t="shared" si="18"/>
        <v>1</v>
      </c>
      <c r="L67" s="30">
        <f t="shared" si="18"/>
        <v>1</v>
      </c>
      <c r="M67" s="30">
        <f t="shared" si="18"/>
        <v>1</v>
      </c>
      <c r="N67" s="30">
        <f t="shared" si="18"/>
        <v>1</v>
      </c>
      <c r="O67" s="30">
        <f t="shared" si="18"/>
        <v>1</v>
      </c>
      <c r="P67" s="30">
        <f t="shared" si="18"/>
        <v>1</v>
      </c>
      <c r="Q67" s="30">
        <f t="shared" si="18"/>
        <v>1</v>
      </c>
      <c r="R67" s="30">
        <f t="shared" si="18"/>
        <v>1</v>
      </c>
      <c r="S67" s="30">
        <f t="shared" si="18"/>
        <v>1</v>
      </c>
      <c r="T67" s="30">
        <f t="shared" si="18"/>
        <v>1</v>
      </c>
      <c r="U67" s="30">
        <f t="shared" si="18"/>
        <v>1</v>
      </c>
      <c r="V67" s="30">
        <f t="shared" si="18"/>
        <v>1</v>
      </c>
      <c r="W67" s="30">
        <f t="shared" si="18"/>
        <v>1</v>
      </c>
      <c r="X67" s="30">
        <f t="shared" si="18"/>
        <v>1</v>
      </c>
      <c r="Y67" s="30">
        <f t="shared" si="18"/>
        <v>1</v>
      </c>
      <c r="Z67" s="30">
        <f t="shared" si="18"/>
        <v>1</v>
      </c>
      <c r="AA67" s="30">
        <f t="shared" si="18"/>
        <v>1</v>
      </c>
      <c r="AB67" s="30">
        <f t="shared" si="18"/>
        <v>1</v>
      </c>
      <c r="AC67" s="30">
        <f t="shared" si="18"/>
        <v>1</v>
      </c>
      <c r="AD67" s="30">
        <f t="shared" si="18"/>
        <v>1</v>
      </c>
      <c r="AE67" s="30">
        <f t="shared" si="18"/>
        <v>1</v>
      </c>
      <c r="AF67" s="30">
        <f t="shared" si="18"/>
        <v>1</v>
      </c>
    </row>
    <row r="68" spans="1:32" ht="17" customHeight="1" outlineLevel="1" x14ac:dyDescent="0.2">
      <c r="A68" s="31" t="s">
        <v>156</v>
      </c>
      <c r="B68" s="45" t="s">
        <v>157</v>
      </c>
      <c r="C68" s="33" t="s">
        <v>5</v>
      </c>
      <c r="D68" s="46">
        <f>Termine!$B$6</f>
        <v>46310</v>
      </c>
      <c r="E68" s="46">
        <f>D68</f>
        <v>46310</v>
      </c>
      <c r="F68" s="33" t="str">
        <f t="shared" si="11"/>
        <v/>
      </c>
      <c r="G68" s="33" t="s">
        <v>6</v>
      </c>
      <c r="H68" s="35" t="s">
        <v>151</v>
      </c>
      <c r="I68" s="2"/>
      <c r="J68" s="47" t="str">
        <f t="shared" ref="J68:S69" si="19">IF(AND($D68&gt;=J$5,$D68&lt;=J$6),"◆ "&amp;MID("MoDiMiDoFrSaSo",WEEKDAY($D68,2)*2-1,2),"")</f>
        <v>◆ Do</v>
      </c>
      <c r="K68" s="47" t="str">
        <f t="shared" si="19"/>
        <v/>
      </c>
      <c r="L68" s="47" t="str">
        <f t="shared" si="19"/>
        <v/>
      </c>
      <c r="M68" s="47" t="str">
        <f t="shared" si="19"/>
        <v/>
      </c>
      <c r="N68" s="47" t="str">
        <f t="shared" si="19"/>
        <v/>
      </c>
      <c r="O68" s="47" t="str">
        <f t="shared" si="19"/>
        <v/>
      </c>
      <c r="P68" s="47" t="str">
        <f t="shared" si="19"/>
        <v/>
      </c>
      <c r="Q68" s="47" t="str">
        <f t="shared" si="19"/>
        <v/>
      </c>
      <c r="R68" s="47" t="str">
        <f t="shared" si="19"/>
        <v/>
      </c>
      <c r="S68" s="47" t="str">
        <f t="shared" si="19"/>
        <v/>
      </c>
      <c r="T68" s="47" t="str">
        <f t="shared" ref="T68:AF69" si="20">IF(AND($D68&gt;=T$5,$D68&lt;=T$6),"◆ "&amp;MID("MoDiMiDoFrSaSo",WEEKDAY($D68,2)*2-1,2),"")</f>
        <v/>
      </c>
      <c r="U68" s="47" t="str">
        <f t="shared" si="20"/>
        <v/>
      </c>
      <c r="V68" s="47" t="str">
        <f t="shared" si="20"/>
        <v/>
      </c>
      <c r="W68" s="47" t="str">
        <f t="shared" si="20"/>
        <v/>
      </c>
      <c r="X68" s="47" t="str">
        <f t="shared" si="20"/>
        <v/>
      </c>
      <c r="Y68" s="47" t="str">
        <f t="shared" si="20"/>
        <v/>
      </c>
      <c r="Z68" s="47" t="str">
        <f t="shared" si="20"/>
        <v/>
      </c>
      <c r="AA68" s="47" t="str">
        <f t="shared" si="20"/>
        <v/>
      </c>
      <c r="AB68" s="47" t="str">
        <f t="shared" si="20"/>
        <v/>
      </c>
      <c r="AC68" s="47" t="str">
        <f t="shared" si="20"/>
        <v/>
      </c>
      <c r="AD68" s="47" t="str">
        <f t="shared" si="20"/>
        <v/>
      </c>
      <c r="AE68" s="47" t="str">
        <f t="shared" si="20"/>
        <v/>
      </c>
      <c r="AF68" s="47" t="str">
        <f t="shared" si="20"/>
        <v/>
      </c>
    </row>
    <row r="69" spans="1:32" ht="17" customHeight="1" outlineLevel="1" x14ac:dyDescent="0.2">
      <c r="A69" s="31" t="s">
        <v>158</v>
      </c>
      <c r="B69" s="45" t="s">
        <v>159</v>
      </c>
      <c r="C69" s="33" t="s">
        <v>5</v>
      </c>
      <c r="D69" s="46">
        <f>Termine!$B$7</f>
        <v>46316</v>
      </c>
      <c r="E69" s="46">
        <f>D69</f>
        <v>46316</v>
      </c>
      <c r="F69" s="33" t="str">
        <f t="shared" si="11"/>
        <v/>
      </c>
      <c r="G69" s="33" t="s">
        <v>6</v>
      </c>
      <c r="H69" s="35" t="s">
        <v>151</v>
      </c>
      <c r="I69" s="2"/>
      <c r="J69" s="47" t="str">
        <f t="shared" si="19"/>
        <v/>
      </c>
      <c r="K69" s="47" t="str">
        <f t="shared" si="19"/>
        <v>◆ Mi</v>
      </c>
      <c r="L69" s="47" t="str">
        <f t="shared" si="19"/>
        <v/>
      </c>
      <c r="M69" s="47" t="str">
        <f t="shared" si="19"/>
        <v/>
      </c>
      <c r="N69" s="47" t="str">
        <f t="shared" si="19"/>
        <v/>
      </c>
      <c r="O69" s="47" t="str">
        <f t="shared" si="19"/>
        <v/>
      </c>
      <c r="P69" s="47" t="str">
        <f t="shared" si="19"/>
        <v/>
      </c>
      <c r="Q69" s="47" t="str">
        <f t="shared" si="19"/>
        <v/>
      </c>
      <c r="R69" s="47" t="str">
        <f t="shared" si="19"/>
        <v/>
      </c>
      <c r="S69" s="47" t="str">
        <f t="shared" si="19"/>
        <v/>
      </c>
      <c r="T69" s="47" t="str">
        <f t="shared" si="20"/>
        <v/>
      </c>
      <c r="U69" s="47" t="str">
        <f t="shared" si="20"/>
        <v/>
      </c>
      <c r="V69" s="47" t="str">
        <f t="shared" si="20"/>
        <v/>
      </c>
      <c r="W69" s="47" t="str">
        <f t="shared" si="20"/>
        <v/>
      </c>
      <c r="X69" s="47" t="str">
        <f t="shared" si="20"/>
        <v/>
      </c>
      <c r="Y69" s="47" t="str">
        <f t="shared" si="20"/>
        <v/>
      </c>
      <c r="Z69" s="47" t="str">
        <f t="shared" si="20"/>
        <v/>
      </c>
      <c r="AA69" s="47" t="str">
        <f t="shared" si="20"/>
        <v/>
      </c>
      <c r="AB69" s="47" t="str">
        <f t="shared" si="20"/>
        <v/>
      </c>
      <c r="AC69" s="47" t="str">
        <f t="shared" si="20"/>
        <v/>
      </c>
      <c r="AD69" s="47" t="str">
        <f t="shared" si="20"/>
        <v/>
      </c>
      <c r="AE69" s="47" t="str">
        <f t="shared" si="20"/>
        <v/>
      </c>
      <c r="AF69" s="47" t="str">
        <f t="shared" si="20"/>
        <v/>
      </c>
    </row>
    <row r="70" spans="1:32" ht="17" customHeight="1" outlineLevel="1" x14ac:dyDescent="0.2">
      <c r="A70" s="31" t="s">
        <v>160</v>
      </c>
      <c r="B70" s="32" t="s">
        <v>161</v>
      </c>
      <c r="C70" s="33" t="s">
        <v>5</v>
      </c>
      <c r="D70" s="34">
        <v>46317</v>
      </c>
      <c r="E70" s="34">
        <v>46322</v>
      </c>
      <c r="F70" s="33">
        <f t="shared" si="11"/>
        <v>6</v>
      </c>
      <c r="G70" s="33" t="s">
        <v>236</v>
      </c>
      <c r="H70" s="35" t="s">
        <v>53</v>
      </c>
      <c r="I70" s="2"/>
      <c r="J70" s="30" t="str">
        <f t="shared" ref="J70:AF70" si="21">IF(AND($D70&lt;=J$6,$E70&gt;=J$5),1,"")</f>
        <v/>
      </c>
      <c r="K70" s="30">
        <f t="shared" si="21"/>
        <v>1</v>
      </c>
      <c r="L70" s="30">
        <f t="shared" si="21"/>
        <v>1</v>
      </c>
      <c r="M70" s="30" t="str">
        <f t="shared" si="21"/>
        <v/>
      </c>
      <c r="N70" s="30" t="str">
        <f t="shared" si="21"/>
        <v/>
      </c>
      <c r="O70" s="30" t="str">
        <f t="shared" si="21"/>
        <v/>
      </c>
      <c r="P70" s="30" t="str">
        <f t="shared" si="21"/>
        <v/>
      </c>
      <c r="Q70" s="30" t="str">
        <f t="shared" si="21"/>
        <v/>
      </c>
      <c r="R70" s="30" t="str">
        <f t="shared" si="21"/>
        <v/>
      </c>
      <c r="S70" s="30" t="str">
        <f t="shared" si="21"/>
        <v/>
      </c>
      <c r="T70" s="30" t="str">
        <f t="shared" si="21"/>
        <v/>
      </c>
      <c r="U70" s="30" t="str">
        <f t="shared" si="21"/>
        <v/>
      </c>
      <c r="V70" s="30" t="str">
        <f t="shared" si="21"/>
        <v/>
      </c>
      <c r="W70" s="30" t="str">
        <f t="shared" si="21"/>
        <v/>
      </c>
      <c r="X70" s="30" t="str">
        <f t="shared" si="21"/>
        <v/>
      </c>
      <c r="Y70" s="30" t="str">
        <f t="shared" si="21"/>
        <v/>
      </c>
      <c r="Z70" s="30" t="str">
        <f t="shared" si="21"/>
        <v/>
      </c>
      <c r="AA70" s="30" t="str">
        <f t="shared" si="21"/>
        <v/>
      </c>
      <c r="AB70" s="30" t="str">
        <f t="shared" si="21"/>
        <v/>
      </c>
      <c r="AC70" s="30" t="str">
        <f t="shared" si="21"/>
        <v/>
      </c>
      <c r="AD70" s="30" t="str">
        <f t="shared" si="21"/>
        <v/>
      </c>
      <c r="AE70" s="30" t="str">
        <f t="shared" si="21"/>
        <v/>
      </c>
      <c r="AF70" s="30" t="str">
        <f t="shared" si="21"/>
        <v/>
      </c>
    </row>
    <row r="71" spans="1:32" ht="17" customHeight="1" outlineLevel="1" x14ac:dyDescent="0.2">
      <c r="A71" s="31" t="s">
        <v>162</v>
      </c>
      <c r="B71" s="45" t="s">
        <v>163</v>
      </c>
      <c r="C71" s="33" t="s">
        <v>5</v>
      </c>
      <c r="D71" s="46">
        <f>Termine!$B$8</f>
        <v>46323</v>
      </c>
      <c r="E71" s="46">
        <f>D71</f>
        <v>46323</v>
      </c>
      <c r="F71" s="33" t="str">
        <f t="shared" si="11"/>
        <v/>
      </c>
      <c r="G71" s="33" t="s">
        <v>6</v>
      </c>
      <c r="H71" s="35" t="s">
        <v>151</v>
      </c>
      <c r="I71" s="2"/>
      <c r="J71" s="47" t="str">
        <f t="shared" ref="J71:S72" si="22">IF(AND($D71&gt;=J$5,$D71&lt;=J$6),"◆ "&amp;MID("MoDiMiDoFrSaSo",WEEKDAY($D71,2)*2-1,2),"")</f>
        <v/>
      </c>
      <c r="K71" s="47" t="str">
        <f t="shared" si="22"/>
        <v/>
      </c>
      <c r="L71" s="47" t="str">
        <f t="shared" si="22"/>
        <v>◆ Mi</v>
      </c>
      <c r="M71" s="47" t="str">
        <f t="shared" si="22"/>
        <v/>
      </c>
      <c r="N71" s="47" t="str">
        <f t="shared" si="22"/>
        <v/>
      </c>
      <c r="O71" s="47" t="str">
        <f t="shared" si="22"/>
        <v/>
      </c>
      <c r="P71" s="47" t="str">
        <f t="shared" si="22"/>
        <v/>
      </c>
      <c r="Q71" s="47" t="str">
        <f t="shared" si="22"/>
        <v/>
      </c>
      <c r="R71" s="47" t="str">
        <f t="shared" si="22"/>
        <v/>
      </c>
      <c r="S71" s="47" t="str">
        <f t="shared" si="22"/>
        <v/>
      </c>
      <c r="T71" s="47" t="str">
        <f t="shared" ref="T71:AF72" si="23">IF(AND($D71&gt;=T$5,$D71&lt;=T$6),"◆ "&amp;MID("MoDiMiDoFrSaSo",WEEKDAY($D71,2)*2-1,2),"")</f>
        <v/>
      </c>
      <c r="U71" s="47" t="str">
        <f t="shared" si="23"/>
        <v/>
      </c>
      <c r="V71" s="47" t="str">
        <f t="shared" si="23"/>
        <v/>
      </c>
      <c r="W71" s="47" t="str">
        <f t="shared" si="23"/>
        <v/>
      </c>
      <c r="X71" s="47" t="str">
        <f t="shared" si="23"/>
        <v/>
      </c>
      <c r="Y71" s="47" t="str">
        <f t="shared" si="23"/>
        <v/>
      </c>
      <c r="Z71" s="47" t="str">
        <f t="shared" si="23"/>
        <v/>
      </c>
      <c r="AA71" s="47" t="str">
        <f t="shared" si="23"/>
        <v/>
      </c>
      <c r="AB71" s="47" t="str">
        <f t="shared" si="23"/>
        <v/>
      </c>
      <c r="AC71" s="47" t="str">
        <f t="shared" si="23"/>
        <v/>
      </c>
      <c r="AD71" s="47" t="str">
        <f t="shared" si="23"/>
        <v/>
      </c>
      <c r="AE71" s="47" t="str">
        <f t="shared" si="23"/>
        <v/>
      </c>
      <c r="AF71" s="47" t="str">
        <f t="shared" si="23"/>
        <v/>
      </c>
    </row>
    <row r="72" spans="1:32" ht="17" customHeight="1" outlineLevel="1" x14ac:dyDescent="0.2">
      <c r="A72" s="31" t="s">
        <v>164</v>
      </c>
      <c r="B72" s="45" t="s">
        <v>165</v>
      </c>
      <c r="C72" s="33" t="s">
        <v>5</v>
      </c>
      <c r="D72" s="46">
        <f>Termine!$B$9</f>
        <v>46337</v>
      </c>
      <c r="E72" s="46">
        <f>D72</f>
        <v>46337</v>
      </c>
      <c r="F72" s="33" t="str">
        <f t="shared" ref="F72:F103" si="24">IF(H72="M","",E72-D72+1)</f>
        <v/>
      </c>
      <c r="G72" s="33" t="s">
        <v>6</v>
      </c>
      <c r="H72" s="35" t="s">
        <v>151</v>
      </c>
      <c r="I72" s="2"/>
      <c r="J72" s="47" t="str">
        <f t="shared" si="22"/>
        <v/>
      </c>
      <c r="K72" s="47" t="str">
        <f t="shared" si="22"/>
        <v/>
      </c>
      <c r="L72" s="47" t="str">
        <f t="shared" si="22"/>
        <v/>
      </c>
      <c r="M72" s="47" t="str">
        <f t="shared" si="22"/>
        <v/>
      </c>
      <c r="N72" s="47" t="str">
        <f t="shared" si="22"/>
        <v>◆ Mi</v>
      </c>
      <c r="O72" s="47" t="str">
        <f t="shared" si="22"/>
        <v/>
      </c>
      <c r="P72" s="47" t="str">
        <f t="shared" si="22"/>
        <v/>
      </c>
      <c r="Q72" s="47" t="str">
        <f t="shared" si="22"/>
        <v/>
      </c>
      <c r="R72" s="47" t="str">
        <f t="shared" si="22"/>
        <v/>
      </c>
      <c r="S72" s="47" t="str">
        <f t="shared" si="22"/>
        <v/>
      </c>
      <c r="T72" s="47" t="str">
        <f t="shared" si="23"/>
        <v/>
      </c>
      <c r="U72" s="47" t="str">
        <f t="shared" si="23"/>
        <v/>
      </c>
      <c r="V72" s="47" t="str">
        <f t="shared" si="23"/>
        <v/>
      </c>
      <c r="W72" s="47" t="str">
        <f t="shared" si="23"/>
        <v/>
      </c>
      <c r="X72" s="47" t="str">
        <f t="shared" si="23"/>
        <v/>
      </c>
      <c r="Y72" s="47" t="str">
        <f t="shared" si="23"/>
        <v/>
      </c>
      <c r="Z72" s="47" t="str">
        <f t="shared" si="23"/>
        <v/>
      </c>
      <c r="AA72" s="47" t="str">
        <f t="shared" si="23"/>
        <v/>
      </c>
      <c r="AB72" s="47" t="str">
        <f t="shared" si="23"/>
        <v/>
      </c>
      <c r="AC72" s="47" t="str">
        <f t="shared" si="23"/>
        <v/>
      </c>
      <c r="AD72" s="47" t="str">
        <f t="shared" si="23"/>
        <v/>
      </c>
      <c r="AE72" s="47" t="str">
        <f t="shared" si="23"/>
        <v/>
      </c>
      <c r="AF72" s="47" t="str">
        <f t="shared" si="23"/>
        <v/>
      </c>
    </row>
    <row r="73" spans="1:32" ht="17" customHeight="1" outlineLevel="1" x14ac:dyDescent="0.2">
      <c r="A73" s="31" t="s">
        <v>166</v>
      </c>
      <c r="B73" s="32" t="s">
        <v>167</v>
      </c>
      <c r="C73" s="33" t="s">
        <v>5</v>
      </c>
      <c r="D73" s="34">
        <v>46359</v>
      </c>
      <c r="E73" s="34">
        <v>46364</v>
      </c>
      <c r="F73" s="33">
        <f t="shared" si="24"/>
        <v>6</v>
      </c>
      <c r="G73" s="33" t="s">
        <v>6</v>
      </c>
      <c r="H73" s="35" t="s">
        <v>53</v>
      </c>
      <c r="I73" s="2"/>
      <c r="J73" s="30" t="str">
        <f t="shared" ref="J73:AF73" si="25">IF(AND($D73&lt;=J$6,$E73&gt;=J$5),1,"")</f>
        <v/>
      </c>
      <c r="K73" s="30" t="str">
        <f t="shared" si="25"/>
        <v/>
      </c>
      <c r="L73" s="30" t="str">
        <f t="shared" si="25"/>
        <v/>
      </c>
      <c r="M73" s="30" t="str">
        <f t="shared" si="25"/>
        <v/>
      </c>
      <c r="N73" s="30" t="str">
        <f t="shared" si="25"/>
        <v/>
      </c>
      <c r="O73" s="30" t="str">
        <f t="shared" si="25"/>
        <v/>
      </c>
      <c r="P73" s="30" t="str">
        <f t="shared" si="25"/>
        <v/>
      </c>
      <c r="Q73" s="30">
        <f t="shared" si="25"/>
        <v>1</v>
      </c>
      <c r="R73" s="30">
        <f t="shared" si="25"/>
        <v>1</v>
      </c>
      <c r="S73" s="30" t="str">
        <f t="shared" si="25"/>
        <v/>
      </c>
      <c r="T73" s="30" t="str">
        <f t="shared" si="25"/>
        <v/>
      </c>
      <c r="U73" s="30" t="str">
        <f t="shared" si="25"/>
        <v/>
      </c>
      <c r="V73" s="30" t="str">
        <f t="shared" si="25"/>
        <v/>
      </c>
      <c r="W73" s="30" t="str">
        <f t="shared" si="25"/>
        <v/>
      </c>
      <c r="X73" s="30" t="str">
        <f t="shared" si="25"/>
        <v/>
      </c>
      <c r="Y73" s="30" t="str">
        <f t="shared" si="25"/>
        <v/>
      </c>
      <c r="Z73" s="30" t="str">
        <f t="shared" si="25"/>
        <v/>
      </c>
      <c r="AA73" s="30" t="str">
        <f t="shared" si="25"/>
        <v/>
      </c>
      <c r="AB73" s="30" t="str">
        <f t="shared" si="25"/>
        <v/>
      </c>
      <c r="AC73" s="30" t="str">
        <f t="shared" si="25"/>
        <v/>
      </c>
      <c r="AD73" s="30" t="str">
        <f t="shared" si="25"/>
        <v/>
      </c>
      <c r="AE73" s="30" t="str">
        <f t="shared" si="25"/>
        <v/>
      </c>
      <c r="AF73" s="30" t="str">
        <f t="shared" si="25"/>
        <v/>
      </c>
    </row>
    <row r="74" spans="1:32" ht="17" customHeight="1" outlineLevel="1" x14ac:dyDescent="0.2">
      <c r="A74" s="31" t="s">
        <v>168</v>
      </c>
      <c r="B74" s="45" t="s">
        <v>169</v>
      </c>
      <c r="C74" s="33" t="s">
        <v>5</v>
      </c>
      <c r="D74" s="46">
        <f>Termine!$B$10</f>
        <v>46365</v>
      </c>
      <c r="E74" s="46">
        <f>D74</f>
        <v>46365</v>
      </c>
      <c r="F74" s="33" t="str">
        <f t="shared" si="24"/>
        <v/>
      </c>
      <c r="G74" s="33" t="s">
        <v>6</v>
      </c>
      <c r="H74" s="35" t="s">
        <v>151</v>
      </c>
      <c r="I74" s="2"/>
      <c r="J74" s="47" t="str">
        <f t="shared" ref="J74:AF74" si="26">IF(AND($D74&gt;=J$5,$D74&lt;=J$6),"◆ "&amp;MID("MoDiMiDoFrSaSo",WEEKDAY($D74,2)*2-1,2),"")</f>
        <v/>
      </c>
      <c r="K74" s="47" t="str">
        <f t="shared" si="26"/>
        <v/>
      </c>
      <c r="L74" s="47" t="str">
        <f t="shared" si="26"/>
        <v/>
      </c>
      <c r="M74" s="47" t="str">
        <f t="shared" si="26"/>
        <v/>
      </c>
      <c r="N74" s="47" t="str">
        <f t="shared" si="26"/>
        <v/>
      </c>
      <c r="O74" s="47" t="str">
        <f t="shared" si="26"/>
        <v/>
      </c>
      <c r="P74" s="47" t="str">
        <f t="shared" si="26"/>
        <v/>
      </c>
      <c r="Q74" s="47" t="str">
        <f t="shared" si="26"/>
        <v/>
      </c>
      <c r="R74" s="47" t="str">
        <f t="shared" si="26"/>
        <v>◆ Mi</v>
      </c>
      <c r="S74" s="47" t="str">
        <f t="shared" si="26"/>
        <v/>
      </c>
      <c r="T74" s="47" t="str">
        <f t="shared" si="26"/>
        <v/>
      </c>
      <c r="U74" s="47" t="str">
        <f t="shared" si="26"/>
        <v/>
      </c>
      <c r="V74" s="47" t="str">
        <f t="shared" si="26"/>
        <v/>
      </c>
      <c r="W74" s="47" t="str">
        <f t="shared" si="26"/>
        <v/>
      </c>
      <c r="X74" s="47" t="str">
        <f t="shared" si="26"/>
        <v/>
      </c>
      <c r="Y74" s="47" t="str">
        <f t="shared" si="26"/>
        <v/>
      </c>
      <c r="Z74" s="47" t="str">
        <f t="shared" si="26"/>
        <v/>
      </c>
      <c r="AA74" s="47" t="str">
        <f t="shared" si="26"/>
        <v/>
      </c>
      <c r="AB74" s="47" t="str">
        <f t="shared" si="26"/>
        <v/>
      </c>
      <c r="AC74" s="47" t="str">
        <f t="shared" si="26"/>
        <v/>
      </c>
      <c r="AD74" s="47" t="str">
        <f t="shared" si="26"/>
        <v/>
      </c>
      <c r="AE74" s="47" t="str">
        <f t="shared" si="26"/>
        <v/>
      </c>
      <c r="AF74" s="47" t="str">
        <f t="shared" si="26"/>
        <v/>
      </c>
    </row>
    <row r="75" spans="1:32" ht="17" customHeight="1" outlineLevel="1" x14ac:dyDescent="0.2">
      <c r="A75" s="31" t="s">
        <v>170</v>
      </c>
      <c r="B75" s="32" t="s">
        <v>171</v>
      </c>
      <c r="C75" s="33" t="s">
        <v>5</v>
      </c>
      <c r="D75" s="34">
        <v>46401</v>
      </c>
      <c r="E75" s="34">
        <v>46406</v>
      </c>
      <c r="F75" s="33">
        <f t="shared" si="24"/>
        <v>6</v>
      </c>
      <c r="G75" s="33" t="s">
        <v>6</v>
      </c>
      <c r="H75" s="35" t="s">
        <v>53</v>
      </c>
      <c r="I75" s="2"/>
      <c r="J75" s="30" t="str">
        <f t="shared" ref="J75:AF75" si="27">IF(AND($D75&lt;=J$6,$E75&gt;=J$5),1,"")</f>
        <v/>
      </c>
      <c r="K75" s="30" t="str">
        <f t="shared" si="27"/>
        <v/>
      </c>
      <c r="L75" s="30" t="str">
        <f t="shared" si="27"/>
        <v/>
      </c>
      <c r="M75" s="30" t="str">
        <f t="shared" si="27"/>
        <v/>
      </c>
      <c r="N75" s="30" t="str">
        <f t="shared" si="27"/>
        <v/>
      </c>
      <c r="O75" s="30" t="str">
        <f t="shared" si="27"/>
        <v/>
      </c>
      <c r="P75" s="30" t="str">
        <f t="shared" si="27"/>
        <v/>
      </c>
      <c r="Q75" s="30" t="str">
        <f t="shared" si="27"/>
        <v/>
      </c>
      <c r="R75" s="30" t="str">
        <f t="shared" si="27"/>
        <v/>
      </c>
      <c r="S75" s="30" t="str">
        <f t="shared" si="27"/>
        <v/>
      </c>
      <c r="T75" s="30" t="str">
        <f t="shared" si="27"/>
        <v/>
      </c>
      <c r="U75" s="30" t="str">
        <f t="shared" si="27"/>
        <v/>
      </c>
      <c r="V75" s="30" t="str">
        <f t="shared" si="27"/>
        <v/>
      </c>
      <c r="W75" s="30">
        <f t="shared" si="27"/>
        <v>1</v>
      </c>
      <c r="X75" s="30">
        <f t="shared" si="27"/>
        <v>1</v>
      </c>
      <c r="Y75" s="30" t="str">
        <f t="shared" si="27"/>
        <v/>
      </c>
      <c r="Z75" s="30" t="str">
        <f t="shared" si="27"/>
        <v/>
      </c>
      <c r="AA75" s="30" t="str">
        <f t="shared" si="27"/>
        <v/>
      </c>
      <c r="AB75" s="30" t="str">
        <f t="shared" si="27"/>
        <v/>
      </c>
      <c r="AC75" s="30" t="str">
        <f t="shared" si="27"/>
        <v/>
      </c>
      <c r="AD75" s="30" t="str">
        <f t="shared" si="27"/>
        <v/>
      </c>
      <c r="AE75" s="30" t="str">
        <f t="shared" si="27"/>
        <v/>
      </c>
      <c r="AF75" s="30" t="str">
        <f t="shared" si="27"/>
        <v/>
      </c>
    </row>
    <row r="76" spans="1:32" ht="17" customHeight="1" outlineLevel="1" x14ac:dyDescent="0.2">
      <c r="A76" s="31" t="s">
        <v>172</v>
      </c>
      <c r="B76" s="45" t="s">
        <v>173</v>
      </c>
      <c r="C76" s="33" t="s">
        <v>5</v>
      </c>
      <c r="D76" s="46">
        <f>Termine!$B$11</f>
        <v>46407</v>
      </c>
      <c r="E76" s="46">
        <f>D76</f>
        <v>46407</v>
      </c>
      <c r="F76" s="33" t="str">
        <f t="shared" si="24"/>
        <v/>
      </c>
      <c r="G76" s="33" t="s">
        <v>6</v>
      </c>
      <c r="H76" s="35" t="s">
        <v>151</v>
      </c>
      <c r="I76" s="2"/>
      <c r="J76" s="47" t="str">
        <f t="shared" ref="J76:S77" si="28">IF(AND($D76&gt;=J$5,$D76&lt;=J$6),"◆ "&amp;MID("MoDiMiDoFrSaSo",WEEKDAY($D76,2)*2-1,2),"")</f>
        <v/>
      </c>
      <c r="K76" s="47" t="str">
        <f t="shared" si="28"/>
        <v/>
      </c>
      <c r="L76" s="47" t="str">
        <f t="shared" si="28"/>
        <v/>
      </c>
      <c r="M76" s="47" t="str">
        <f t="shared" si="28"/>
        <v/>
      </c>
      <c r="N76" s="47" t="str">
        <f t="shared" si="28"/>
        <v/>
      </c>
      <c r="O76" s="47" t="str">
        <f t="shared" si="28"/>
        <v/>
      </c>
      <c r="P76" s="47" t="str">
        <f t="shared" si="28"/>
        <v/>
      </c>
      <c r="Q76" s="47" t="str">
        <f t="shared" si="28"/>
        <v/>
      </c>
      <c r="R76" s="47" t="str">
        <f t="shared" si="28"/>
        <v/>
      </c>
      <c r="S76" s="47" t="str">
        <f t="shared" si="28"/>
        <v/>
      </c>
      <c r="T76" s="47" t="str">
        <f t="shared" ref="T76:AF77" si="29">IF(AND($D76&gt;=T$5,$D76&lt;=T$6),"◆ "&amp;MID("MoDiMiDoFrSaSo",WEEKDAY($D76,2)*2-1,2),"")</f>
        <v/>
      </c>
      <c r="U76" s="47" t="str">
        <f t="shared" si="29"/>
        <v/>
      </c>
      <c r="V76" s="47" t="str">
        <f t="shared" si="29"/>
        <v/>
      </c>
      <c r="W76" s="47" t="str">
        <f t="shared" si="29"/>
        <v/>
      </c>
      <c r="X76" s="47" t="str">
        <f t="shared" si="29"/>
        <v>◆ Mi</v>
      </c>
      <c r="Y76" s="47" t="str">
        <f t="shared" si="29"/>
        <v/>
      </c>
      <c r="Z76" s="47" t="str">
        <f t="shared" si="29"/>
        <v/>
      </c>
      <c r="AA76" s="47" t="str">
        <f t="shared" si="29"/>
        <v/>
      </c>
      <c r="AB76" s="47" t="str">
        <f t="shared" si="29"/>
        <v/>
      </c>
      <c r="AC76" s="47" t="str">
        <f t="shared" si="29"/>
        <v/>
      </c>
      <c r="AD76" s="47" t="str">
        <f t="shared" si="29"/>
        <v/>
      </c>
      <c r="AE76" s="47" t="str">
        <f t="shared" si="29"/>
        <v/>
      </c>
      <c r="AF76" s="47" t="str">
        <f t="shared" si="29"/>
        <v/>
      </c>
    </row>
    <row r="77" spans="1:32" ht="17" customHeight="1" outlineLevel="1" x14ac:dyDescent="0.2">
      <c r="A77" s="31" t="s">
        <v>174</v>
      </c>
      <c r="B77" s="45" t="s">
        <v>175</v>
      </c>
      <c r="C77" s="33" t="s">
        <v>5</v>
      </c>
      <c r="D77" s="46">
        <f>Termine!$B$12</f>
        <v>46410</v>
      </c>
      <c r="E77" s="46">
        <f>D77</f>
        <v>46410</v>
      </c>
      <c r="F77" s="33" t="str">
        <f t="shared" si="24"/>
        <v/>
      </c>
      <c r="G77" s="33" t="s">
        <v>6</v>
      </c>
      <c r="H77" s="35" t="s">
        <v>151</v>
      </c>
      <c r="I77" s="2"/>
      <c r="J77" s="47" t="str">
        <f t="shared" si="28"/>
        <v/>
      </c>
      <c r="K77" s="47" t="str">
        <f t="shared" si="28"/>
        <v/>
      </c>
      <c r="L77" s="47" t="str">
        <f t="shared" si="28"/>
        <v/>
      </c>
      <c r="M77" s="47" t="str">
        <f t="shared" si="28"/>
        <v/>
      </c>
      <c r="N77" s="47" t="str">
        <f t="shared" si="28"/>
        <v/>
      </c>
      <c r="O77" s="47" t="str">
        <f t="shared" si="28"/>
        <v/>
      </c>
      <c r="P77" s="47" t="str">
        <f t="shared" si="28"/>
        <v/>
      </c>
      <c r="Q77" s="47" t="str">
        <f t="shared" si="28"/>
        <v/>
      </c>
      <c r="R77" s="47" t="str">
        <f t="shared" si="28"/>
        <v/>
      </c>
      <c r="S77" s="47" t="str">
        <f t="shared" si="28"/>
        <v/>
      </c>
      <c r="T77" s="47" t="str">
        <f t="shared" si="29"/>
        <v/>
      </c>
      <c r="U77" s="47" t="str">
        <f t="shared" si="29"/>
        <v/>
      </c>
      <c r="V77" s="47" t="str">
        <f t="shared" si="29"/>
        <v/>
      </c>
      <c r="W77" s="47" t="str">
        <f t="shared" si="29"/>
        <v/>
      </c>
      <c r="X77" s="47" t="str">
        <f t="shared" si="29"/>
        <v>◆ Sa</v>
      </c>
      <c r="Y77" s="47" t="str">
        <f t="shared" si="29"/>
        <v/>
      </c>
      <c r="Z77" s="47" t="str">
        <f t="shared" si="29"/>
        <v/>
      </c>
      <c r="AA77" s="47" t="str">
        <f t="shared" si="29"/>
        <v/>
      </c>
      <c r="AB77" s="47" t="str">
        <f t="shared" si="29"/>
        <v/>
      </c>
      <c r="AC77" s="47" t="str">
        <f t="shared" si="29"/>
        <v/>
      </c>
      <c r="AD77" s="47" t="str">
        <f t="shared" si="29"/>
        <v/>
      </c>
      <c r="AE77" s="47" t="str">
        <f t="shared" si="29"/>
        <v/>
      </c>
      <c r="AF77" s="47" t="str">
        <f t="shared" si="29"/>
        <v/>
      </c>
    </row>
    <row r="78" spans="1:32" ht="17" customHeight="1" outlineLevel="1" x14ac:dyDescent="0.2">
      <c r="A78" s="31" t="s">
        <v>176</v>
      </c>
      <c r="B78" s="32" t="s">
        <v>177</v>
      </c>
      <c r="C78" s="33" t="s">
        <v>5</v>
      </c>
      <c r="D78" s="34">
        <v>46416</v>
      </c>
      <c r="E78" s="34">
        <v>46424</v>
      </c>
      <c r="F78" s="33">
        <f t="shared" si="24"/>
        <v>9</v>
      </c>
      <c r="G78" s="33" t="s">
        <v>6</v>
      </c>
      <c r="H78" s="35" t="s">
        <v>53</v>
      </c>
      <c r="I78" s="2"/>
      <c r="J78" s="30" t="str">
        <f t="shared" ref="J78:AF78" si="30">IF(AND($D78&lt;=J$6,$E78&gt;=J$5),1,"")</f>
        <v/>
      </c>
      <c r="K78" s="30" t="str">
        <f t="shared" si="30"/>
        <v/>
      </c>
      <c r="L78" s="30" t="str">
        <f t="shared" si="30"/>
        <v/>
      </c>
      <c r="M78" s="30" t="str">
        <f t="shared" si="30"/>
        <v/>
      </c>
      <c r="N78" s="30" t="str">
        <f t="shared" si="30"/>
        <v/>
      </c>
      <c r="O78" s="30" t="str">
        <f t="shared" si="30"/>
        <v/>
      </c>
      <c r="P78" s="30" t="str">
        <f t="shared" si="30"/>
        <v/>
      </c>
      <c r="Q78" s="30" t="str">
        <f t="shared" si="30"/>
        <v/>
      </c>
      <c r="R78" s="30" t="str">
        <f t="shared" si="30"/>
        <v/>
      </c>
      <c r="S78" s="30" t="str">
        <f t="shared" si="30"/>
        <v/>
      </c>
      <c r="T78" s="30" t="str">
        <f t="shared" si="30"/>
        <v/>
      </c>
      <c r="U78" s="30" t="str">
        <f t="shared" si="30"/>
        <v/>
      </c>
      <c r="V78" s="30" t="str">
        <f t="shared" si="30"/>
        <v/>
      </c>
      <c r="W78" s="30" t="str">
        <f t="shared" si="30"/>
        <v/>
      </c>
      <c r="X78" s="30" t="str">
        <f t="shared" si="30"/>
        <v/>
      </c>
      <c r="Y78" s="30">
        <f t="shared" si="30"/>
        <v>1</v>
      </c>
      <c r="Z78" s="30">
        <f t="shared" si="30"/>
        <v>1</v>
      </c>
      <c r="AA78" s="30" t="str">
        <f t="shared" si="30"/>
        <v/>
      </c>
      <c r="AB78" s="30" t="str">
        <f t="shared" si="30"/>
        <v/>
      </c>
      <c r="AC78" s="30" t="str">
        <f t="shared" si="30"/>
        <v/>
      </c>
      <c r="AD78" s="30" t="str">
        <f t="shared" si="30"/>
        <v/>
      </c>
      <c r="AE78" s="30" t="str">
        <f t="shared" si="30"/>
        <v/>
      </c>
      <c r="AF78" s="30" t="str">
        <f t="shared" si="30"/>
        <v/>
      </c>
    </row>
    <row r="79" spans="1:32" ht="17" customHeight="1" outlineLevel="1" x14ac:dyDescent="0.2">
      <c r="A79" s="31" t="s">
        <v>178</v>
      </c>
      <c r="B79" s="45" t="s">
        <v>179</v>
      </c>
      <c r="C79" s="33" t="s">
        <v>5</v>
      </c>
      <c r="D79" s="46">
        <f>Termine!$B$15</f>
        <v>46425</v>
      </c>
      <c r="E79" s="46">
        <f>D79</f>
        <v>46425</v>
      </c>
      <c r="F79" s="33" t="str">
        <f t="shared" si="24"/>
        <v/>
      </c>
      <c r="G79" s="33" t="s">
        <v>6</v>
      </c>
      <c r="H79" s="35" t="s">
        <v>151</v>
      </c>
      <c r="I79" s="2"/>
      <c r="J79" s="47" t="str">
        <f t="shared" ref="J79:AF79" si="31">IF(AND($D79&gt;=J$5,$D79&lt;=J$6),"◆ "&amp;MID("MoDiMiDoFrSaSo",WEEKDAY($D79,2)*2-1,2),"")</f>
        <v/>
      </c>
      <c r="K79" s="47" t="str">
        <f t="shared" si="31"/>
        <v/>
      </c>
      <c r="L79" s="47" t="str">
        <f t="shared" si="31"/>
        <v/>
      </c>
      <c r="M79" s="47" t="str">
        <f t="shared" si="31"/>
        <v/>
      </c>
      <c r="N79" s="47" t="str">
        <f t="shared" si="31"/>
        <v/>
      </c>
      <c r="O79" s="47" t="str">
        <f t="shared" si="31"/>
        <v/>
      </c>
      <c r="P79" s="47" t="str">
        <f t="shared" si="31"/>
        <v/>
      </c>
      <c r="Q79" s="47" t="str">
        <f t="shared" si="31"/>
        <v/>
      </c>
      <c r="R79" s="47" t="str">
        <f t="shared" si="31"/>
        <v/>
      </c>
      <c r="S79" s="47" t="str">
        <f t="shared" si="31"/>
        <v/>
      </c>
      <c r="T79" s="47" t="str">
        <f t="shared" si="31"/>
        <v/>
      </c>
      <c r="U79" s="47" t="str">
        <f t="shared" si="31"/>
        <v/>
      </c>
      <c r="V79" s="47" t="str">
        <f t="shared" si="31"/>
        <v/>
      </c>
      <c r="W79" s="47" t="str">
        <f t="shared" si="31"/>
        <v/>
      </c>
      <c r="X79" s="47" t="str">
        <f t="shared" si="31"/>
        <v/>
      </c>
      <c r="Y79" s="47" t="str">
        <f t="shared" si="31"/>
        <v/>
      </c>
      <c r="Z79" s="47" t="str">
        <f t="shared" si="31"/>
        <v>◆ So</v>
      </c>
      <c r="AA79" s="47" t="str">
        <f t="shared" si="31"/>
        <v/>
      </c>
      <c r="AB79" s="47" t="str">
        <f t="shared" si="31"/>
        <v/>
      </c>
      <c r="AC79" s="47" t="str">
        <f t="shared" si="31"/>
        <v/>
      </c>
      <c r="AD79" s="47" t="str">
        <f t="shared" si="31"/>
        <v/>
      </c>
      <c r="AE79" s="47" t="str">
        <f t="shared" si="31"/>
        <v/>
      </c>
      <c r="AF79" s="47" t="str">
        <f t="shared" si="31"/>
        <v/>
      </c>
    </row>
    <row r="80" spans="1:32" ht="17" customHeight="1" outlineLevel="1" x14ac:dyDescent="0.2">
      <c r="A80" s="31" t="s">
        <v>180</v>
      </c>
      <c r="B80" s="32" t="s">
        <v>181</v>
      </c>
      <c r="C80" s="33" t="s">
        <v>5</v>
      </c>
      <c r="D80" s="34">
        <v>46426</v>
      </c>
      <c r="E80" s="34">
        <v>46438</v>
      </c>
      <c r="F80" s="33">
        <f t="shared" si="24"/>
        <v>13</v>
      </c>
      <c r="G80" s="33" t="s">
        <v>6</v>
      </c>
      <c r="H80" s="35" t="s">
        <v>53</v>
      </c>
      <c r="I80" s="2"/>
      <c r="J80" s="30" t="str">
        <f t="shared" ref="J80:AF80" si="32">IF(AND($D80&lt;=J$6,$E80&gt;=J$5),1,"")</f>
        <v/>
      </c>
      <c r="K80" s="30" t="str">
        <f t="shared" si="32"/>
        <v/>
      </c>
      <c r="L80" s="30" t="str">
        <f t="shared" si="32"/>
        <v/>
      </c>
      <c r="M80" s="30" t="str">
        <f t="shared" si="32"/>
        <v/>
      </c>
      <c r="N80" s="30" t="str">
        <f t="shared" si="32"/>
        <v/>
      </c>
      <c r="O80" s="30" t="str">
        <f t="shared" si="32"/>
        <v/>
      </c>
      <c r="P80" s="30" t="str">
        <f t="shared" si="32"/>
        <v/>
      </c>
      <c r="Q80" s="30" t="str">
        <f t="shared" si="32"/>
        <v/>
      </c>
      <c r="R80" s="30" t="str">
        <f t="shared" si="32"/>
        <v/>
      </c>
      <c r="S80" s="30" t="str">
        <f t="shared" si="32"/>
        <v/>
      </c>
      <c r="T80" s="30" t="str">
        <f t="shared" si="32"/>
        <v/>
      </c>
      <c r="U80" s="30" t="str">
        <f t="shared" si="32"/>
        <v/>
      </c>
      <c r="V80" s="30" t="str">
        <f t="shared" si="32"/>
        <v/>
      </c>
      <c r="W80" s="30" t="str">
        <f t="shared" si="32"/>
        <v/>
      </c>
      <c r="X80" s="30" t="str">
        <f t="shared" si="32"/>
        <v/>
      </c>
      <c r="Y80" s="30" t="str">
        <f t="shared" si="32"/>
        <v/>
      </c>
      <c r="Z80" s="30" t="str">
        <f t="shared" si="32"/>
        <v/>
      </c>
      <c r="AA80" s="30">
        <f t="shared" si="32"/>
        <v>1</v>
      </c>
      <c r="AB80" s="30">
        <f t="shared" si="32"/>
        <v>1</v>
      </c>
      <c r="AC80" s="30" t="str">
        <f t="shared" si="32"/>
        <v/>
      </c>
      <c r="AD80" s="30" t="str">
        <f t="shared" si="32"/>
        <v/>
      </c>
      <c r="AE80" s="30" t="str">
        <f t="shared" si="32"/>
        <v/>
      </c>
      <c r="AF80" s="30" t="str">
        <f t="shared" si="32"/>
        <v/>
      </c>
    </row>
    <row r="81" spans="1:32" ht="17" customHeight="1" outlineLevel="1" x14ac:dyDescent="0.2">
      <c r="A81" s="31" t="s">
        <v>182</v>
      </c>
      <c r="B81" s="45" t="s">
        <v>183</v>
      </c>
      <c r="C81" s="33" t="s">
        <v>5</v>
      </c>
      <c r="D81" s="46">
        <f>Termine!$B$16</f>
        <v>46439</v>
      </c>
      <c r="E81" s="46">
        <f>D81</f>
        <v>46439</v>
      </c>
      <c r="F81" s="33" t="str">
        <f t="shared" si="24"/>
        <v/>
      </c>
      <c r="G81" s="33" t="s">
        <v>6</v>
      </c>
      <c r="H81" s="35" t="s">
        <v>151</v>
      </c>
      <c r="I81" s="2"/>
      <c r="J81" s="47" t="str">
        <f t="shared" ref="J81:AF81" si="33">IF(AND($D81&gt;=J$5,$D81&lt;=J$6),"◆ "&amp;MID("MoDiMiDoFrSaSo",WEEKDAY($D81,2)*2-1,2),"")</f>
        <v/>
      </c>
      <c r="K81" s="47" t="str">
        <f t="shared" si="33"/>
        <v/>
      </c>
      <c r="L81" s="47" t="str">
        <f t="shared" si="33"/>
        <v/>
      </c>
      <c r="M81" s="47" t="str">
        <f t="shared" si="33"/>
        <v/>
      </c>
      <c r="N81" s="47" t="str">
        <f t="shared" si="33"/>
        <v/>
      </c>
      <c r="O81" s="47" t="str">
        <f t="shared" si="33"/>
        <v/>
      </c>
      <c r="P81" s="47" t="str">
        <f t="shared" si="33"/>
        <v/>
      </c>
      <c r="Q81" s="47" t="str">
        <f t="shared" si="33"/>
        <v/>
      </c>
      <c r="R81" s="47" t="str">
        <f t="shared" si="33"/>
        <v/>
      </c>
      <c r="S81" s="47" t="str">
        <f t="shared" si="33"/>
        <v/>
      </c>
      <c r="T81" s="47" t="str">
        <f t="shared" si="33"/>
        <v/>
      </c>
      <c r="U81" s="47" t="str">
        <f t="shared" si="33"/>
        <v/>
      </c>
      <c r="V81" s="47" t="str">
        <f t="shared" si="33"/>
        <v/>
      </c>
      <c r="W81" s="47" t="str">
        <f t="shared" si="33"/>
        <v/>
      </c>
      <c r="X81" s="47" t="str">
        <f t="shared" si="33"/>
        <v/>
      </c>
      <c r="Y81" s="47" t="str">
        <f t="shared" si="33"/>
        <v/>
      </c>
      <c r="Z81" s="47" t="str">
        <f t="shared" si="33"/>
        <v/>
      </c>
      <c r="AA81" s="47" t="str">
        <f t="shared" si="33"/>
        <v/>
      </c>
      <c r="AB81" s="47" t="str">
        <f t="shared" si="33"/>
        <v>◆ So</v>
      </c>
      <c r="AC81" s="47" t="str">
        <f t="shared" si="33"/>
        <v/>
      </c>
      <c r="AD81" s="47" t="str">
        <f t="shared" si="33"/>
        <v/>
      </c>
      <c r="AE81" s="47" t="str">
        <f t="shared" si="33"/>
        <v/>
      </c>
      <c r="AF81" s="47" t="str">
        <f t="shared" si="33"/>
        <v/>
      </c>
    </row>
    <row r="82" spans="1:32" ht="17" customHeight="1" outlineLevel="1" x14ac:dyDescent="0.2">
      <c r="A82" s="31" t="s">
        <v>184</v>
      </c>
      <c r="B82" s="32" t="s">
        <v>185</v>
      </c>
      <c r="C82" s="33" t="s">
        <v>5</v>
      </c>
      <c r="D82" s="34">
        <v>46440</v>
      </c>
      <c r="E82" s="34">
        <v>46453</v>
      </c>
      <c r="F82" s="33">
        <f t="shared" si="24"/>
        <v>14</v>
      </c>
      <c r="G82" s="33" t="s">
        <v>6</v>
      </c>
      <c r="H82" s="35" t="s">
        <v>53</v>
      </c>
      <c r="I82" s="2"/>
      <c r="J82" s="30" t="str">
        <f t="shared" ref="J82:AF82" si="34">IF(AND($D82&lt;=J$6,$E82&gt;=J$5),1,"")</f>
        <v/>
      </c>
      <c r="K82" s="30" t="str">
        <f t="shared" si="34"/>
        <v/>
      </c>
      <c r="L82" s="30" t="str">
        <f t="shared" si="34"/>
        <v/>
      </c>
      <c r="M82" s="30" t="str">
        <f t="shared" si="34"/>
        <v/>
      </c>
      <c r="N82" s="30" t="str">
        <f t="shared" si="34"/>
        <v/>
      </c>
      <c r="O82" s="30" t="str">
        <f t="shared" si="34"/>
        <v/>
      </c>
      <c r="P82" s="30" t="str">
        <f t="shared" si="34"/>
        <v/>
      </c>
      <c r="Q82" s="30" t="str">
        <f t="shared" si="34"/>
        <v/>
      </c>
      <c r="R82" s="30" t="str">
        <f t="shared" si="34"/>
        <v/>
      </c>
      <c r="S82" s="30" t="str">
        <f t="shared" si="34"/>
        <v/>
      </c>
      <c r="T82" s="30" t="str">
        <f t="shared" si="34"/>
        <v/>
      </c>
      <c r="U82" s="30" t="str">
        <f t="shared" si="34"/>
        <v/>
      </c>
      <c r="V82" s="30" t="str">
        <f t="shared" si="34"/>
        <v/>
      </c>
      <c r="W82" s="30" t="str">
        <f t="shared" si="34"/>
        <v/>
      </c>
      <c r="X82" s="30" t="str">
        <f t="shared" si="34"/>
        <v/>
      </c>
      <c r="Y82" s="30" t="str">
        <f t="shared" si="34"/>
        <v/>
      </c>
      <c r="Z82" s="30" t="str">
        <f t="shared" si="34"/>
        <v/>
      </c>
      <c r="AA82" s="30" t="str">
        <f t="shared" si="34"/>
        <v/>
      </c>
      <c r="AB82" s="30" t="str">
        <f t="shared" si="34"/>
        <v/>
      </c>
      <c r="AC82" s="30">
        <f t="shared" si="34"/>
        <v>1</v>
      </c>
      <c r="AD82" s="30">
        <f t="shared" si="34"/>
        <v>1</v>
      </c>
      <c r="AE82" s="30" t="str">
        <f t="shared" si="34"/>
        <v/>
      </c>
      <c r="AF82" s="30" t="str">
        <f t="shared" si="34"/>
        <v/>
      </c>
    </row>
    <row r="83" spans="1:32" ht="17" customHeight="1" outlineLevel="1" x14ac:dyDescent="0.2">
      <c r="A83" s="31" t="s">
        <v>186</v>
      </c>
      <c r="B83" s="45" t="s">
        <v>187</v>
      </c>
      <c r="C83" s="33" t="s">
        <v>5</v>
      </c>
      <c r="D83" s="46">
        <f>Termine!$B$17</f>
        <v>46456</v>
      </c>
      <c r="E83" s="46">
        <f>D83</f>
        <v>46456</v>
      </c>
      <c r="F83" s="33" t="str">
        <f t="shared" si="24"/>
        <v/>
      </c>
      <c r="G83" s="33" t="s">
        <v>6</v>
      </c>
      <c r="H83" s="35" t="s">
        <v>151</v>
      </c>
      <c r="I83" s="2"/>
      <c r="J83" s="47" t="str">
        <f t="shared" ref="J83:AF83" si="35">IF(AND($D83&gt;=J$5,$D83&lt;=J$6),"◆ "&amp;MID("MoDiMiDoFrSaSo",WEEKDAY($D83,2)*2-1,2),"")</f>
        <v/>
      </c>
      <c r="K83" s="47" t="str">
        <f t="shared" si="35"/>
        <v/>
      </c>
      <c r="L83" s="47" t="str">
        <f t="shared" si="35"/>
        <v/>
      </c>
      <c r="M83" s="47" t="str">
        <f t="shared" si="35"/>
        <v/>
      </c>
      <c r="N83" s="47" t="str">
        <f t="shared" si="35"/>
        <v/>
      </c>
      <c r="O83" s="47" t="str">
        <f t="shared" si="35"/>
        <v/>
      </c>
      <c r="P83" s="47" t="str">
        <f t="shared" si="35"/>
        <v/>
      </c>
      <c r="Q83" s="47" t="str">
        <f t="shared" si="35"/>
        <v/>
      </c>
      <c r="R83" s="47" t="str">
        <f t="shared" si="35"/>
        <v/>
      </c>
      <c r="S83" s="47" t="str">
        <f t="shared" si="35"/>
        <v/>
      </c>
      <c r="T83" s="47" t="str">
        <f t="shared" si="35"/>
        <v/>
      </c>
      <c r="U83" s="47" t="str">
        <f t="shared" si="35"/>
        <v/>
      </c>
      <c r="V83" s="47" t="str">
        <f t="shared" si="35"/>
        <v/>
      </c>
      <c r="W83" s="47" t="str">
        <f t="shared" si="35"/>
        <v/>
      </c>
      <c r="X83" s="47" t="str">
        <f t="shared" si="35"/>
        <v/>
      </c>
      <c r="Y83" s="47" t="str">
        <f t="shared" si="35"/>
        <v/>
      </c>
      <c r="Z83" s="47" t="str">
        <f t="shared" si="35"/>
        <v/>
      </c>
      <c r="AA83" s="47" t="str">
        <f t="shared" si="35"/>
        <v/>
      </c>
      <c r="AB83" s="47" t="str">
        <f t="shared" si="35"/>
        <v/>
      </c>
      <c r="AC83" s="47" t="str">
        <f t="shared" si="35"/>
        <v/>
      </c>
      <c r="AD83" s="47" t="str">
        <f t="shared" si="35"/>
        <v/>
      </c>
      <c r="AE83" s="47" t="str">
        <f t="shared" si="35"/>
        <v>◆ Mi</v>
      </c>
      <c r="AF83" s="47" t="str">
        <f t="shared" si="35"/>
        <v/>
      </c>
    </row>
    <row r="84" spans="1:32" ht="17" customHeight="1" outlineLevel="1" x14ac:dyDescent="0.2">
      <c r="A84" s="31" t="s">
        <v>188</v>
      </c>
      <c r="B84" s="32" t="s">
        <v>189</v>
      </c>
      <c r="C84" s="33" t="s">
        <v>5</v>
      </c>
      <c r="D84" s="34">
        <v>46454</v>
      </c>
      <c r="E84" s="34">
        <v>46459</v>
      </c>
      <c r="F84" s="33">
        <f t="shared" si="24"/>
        <v>6</v>
      </c>
      <c r="G84" s="33" t="s">
        <v>6</v>
      </c>
      <c r="H84" s="35" t="s">
        <v>53</v>
      </c>
      <c r="I84" s="2"/>
      <c r="J84" s="30" t="str">
        <f t="shared" ref="J84:AF84" si="36">IF(AND($D84&lt;=J$6,$E84&gt;=J$5),1,"")</f>
        <v/>
      </c>
      <c r="K84" s="30" t="str">
        <f t="shared" si="36"/>
        <v/>
      </c>
      <c r="L84" s="30" t="str">
        <f t="shared" si="36"/>
        <v/>
      </c>
      <c r="M84" s="30" t="str">
        <f t="shared" si="36"/>
        <v/>
      </c>
      <c r="N84" s="30" t="str">
        <f t="shared" si="36"/>
        <v/>
      </c>
      <c r="O84" s="30" t="str">
        <f t="shared" si="36"/>
        <v/>
      </c>
      <c r="P84" s="30" t="str">
        <f t="shared" si="36"/>
        <v/>
      </c>
      <c r="Q84" s="30" t="str">
        <f t="shared" si="36"/>
        <v/>
      </c>
      <c r="R84" s="30" t="str">
        <f t="shared" si="36"/>
        <v/>
      </c>
      <c r="S84" s="30" t="str">
        <f t="shared" si="36"/>
        <v/>
      </c>
      <c r="T84" s="30" t="str">
        <f t="shared" si="36"/>
        <v/>
      </c>
      <c r="U84" s="30" t="str">
        <f t="shared" si="36"/>
        <v/>
      </c>
      <c r="V84" s="30" t="str">
        <f t="shared" si="36"/>
        <v/>
      </c>
      <c r="W84" s="30" t="str">
        <f t="shared" si="36"/>
        <v/>
      </c>
      <c r="X84" s="30" t="str">
        <f t="shared" si="36"/>
        <v/>
      </c>
      <c r="Y84" s="30" t="str">
        <f t="shared" si="36"/>
        <v/>
      </c>
      <c r="Z84" s="30" t="str">
        <f t="shared" si="36"/>
        <v/>
      </c>
      <c r="AA84" s="30" t="str">
        <f t="shared" si="36"/>
        <v/>
      </c>
      <c r="AB84" s="30" t="str">
        <f t="shared" si="36"/>
        <v/>
      </c>
      <c r="AC84" s="30" t="str">
        <f t="shared" si="36"/>
        <v/>
      </c>
      <c r="AD84" s="30" t="str">
        <f t="shared" si="36"/>
        <v/>
      </c>
      <c r="AE84" s="30">
        <f t="shared" si="36"/>
        <v>1</v>
      </c>
      <c r="AF84" s="30" t="str">
        <f t="shared" si="36"/>
        <v/>
      </c>
    </row>
    <row r="85" spans="1:32" ht="17" customHeight="1" outlineLevel="1" x14ac:dyDescent="0.2">
      <c r="A85" s="31" t="s">
        <v>190</v>
      </c>
      <c r="B85" s="45" t="s">
        <v>191</v>
      </c>
      <c r="C85" s="33" t="s">
        <v>5</v>
      </c>
      <c r="D85" s="46">
        <f>Termine!$B$18</f>
        <v>46461</v>
      </c>
      <c r="E85" s="46">
        <f>D85</f>
        <v>46461</v>
      </c>
      <c r="F85" s="33" t="str">
        <f t="shared" si="24"/>
        <v/>
      </c>
      <c r="G85" s="33" t="s">
        <v>6</v>
      </c>
      <c r="H85" s="35" t="s">
        <v>151</v>
      </c>
      <c r="I85" s="2"/>
      <c r="J85" s="47" t="str">
        <f t="shared" ref="J85:AF85" si="37">IF(AND($D85&gt;=J$5,$D85&lt;=J$6),"◆ "&amp;MID("MoDiMiDoFrSaSo",WEEKDAY($D85,2)*2-1,2),"")</f>
        <v/>
      </c>
      <c r="K85" s="47" t="str">
        <f t="shared" si="37"/>
        <v/>
      </c>
      <c r="L85" s="47" t="str">
        <f t="shared" si="37"/>
        <v/>
      </c>
      <c r="M85" s="47" t="str">
        <f t="shared" si="37"/>
        <v/>
      </c>
      <c r="N85" s="47" t="str">
        <f t="shared" si="37"/>
        <v/>
      </c>
      <c r="O85" s="47" t="str">
        <f t="shared" si="37"/>
        <v/>
      </c>
      <c r="P85" s="47" t="str">
        <f t="shared" si="37"/>
        <v/>
      </c>
      <c r="Q85" s="47" t="str">
        <f t="shared" si="37"/>
        <v/>
      </c>
      <c r="R85" s="47" t="str">
        <f t="shared" si="37"/>
        <v/>
      </c>
      <c r="S85" s="47" t="str">
        <f t="shared" si="37"/>
        <v/>
      </c>
      <c r="T85" s="47" t="str">
        <f t="shared" si="37"/>
        <v/>
      </c>
      <c r="U85" s="47" t="str">
        <f t="shared" si="37"/>
        <v/>
      </c>
      <c r="V85" s="47" t="str">
        <f t="shared" si="37"/>
        <v/>
      </c>
      <c r="W85" s="47" t="str">
        <f t="shared" si="37"/>
        <v/>
      </c>
      <c r="X85" s="47" t="str">
        <f t="shared" si="37"/>
        <v/>
      </c>
      <c r="Y85" s="47" t="str">
        <f t="shared" si="37"/>
        <v/>
      </c>
      <c r="Z85" s="47" t="str">
        <f t="shared" si="37"/>
        <v/>
      </c>
      <c r="AA85" s="47" t="str">
        <f t="shared" si="37"/>
        <v/>
      </c>
      <c r="AB85" s="47" t="str">
        <f t="shared" si="37"/>
        <v/>
      </c>
      <c r="AC85" s="47" t="str">
        <f t="shared" si="37"/>
        <v/>
      </c>
      <c r="AD85" s="47" t="str">
        <f t="shared" si="37"/>
        <v/>
      </c>
      <c r="AE85" s="47" t="str">
        <f t="shared" si="37"/>
        <v/>
      </c>
      <c r="AF85" s="47" t="str">
        <f t="shared" si="37"/>
        <v>◆ Mo</v>
      </c>
    </row>
  </sheetData>
  <mergeCells count="9">
    <mergeCell ref="D4:D6"/>
    <mergeCell ref="F2:G2"/>
    <mergeCell ref="H4:H6"/>
    <mergeCell ref="A4:A6"/>
    <mergeCell ref="B4:B6"/>
    <mergeCell ref="E4:E6"/>
    <mergeCell ref="G4:G6"/>
    <mergeCell ref="C4:C6"/>
    <mergeCell ref="F4:F6"/>
  </mergeCells>
  <conditionalFormatting sqref="B9:B85">
    <cfRule type="expression" dxfId="19" priority="13">
      <formula>$G9="erledigt"</formula>
    </cfRule>
  </conditionalFormatting>
  <conditionalFormatting sqref="C9:C85">
    <cfRule type="expression" dxfId="18" priority="14" stopIfTrue="1">
      <formula>AND($H9&lt;&gt;"G",$C9=$C$2)</formula>
    </cfRule>
    <cfRule type="expression" dxfId="17" priority="15" stopIfTrue="1">
      <formula>AND($H9&lt;&gt;"G",$C9=$D$2)</formula>
    </cfRule>
    <cfRule type="expression" dxfId="16" priority="16" stopIfTrue="1">
      <formula>AND($H9&lt;&gt;"G",$C9=$E$2)</formula>
    </cfRule>
    <cfRule type="expression" dxfId="15" priority="17" stopIfTrue="1">
      <formula>AND($H9&lt;&gt;"G",$C9=$F$2)</formula>
    </cfRule>
  </conditionalFormatting>
  <conditionalFormatting sqref="G9:G85">
    <cfRule type="expression" dxfId="14" priority="10" stopIfTrue="1">
      <formula>G9="erledigt"</formula>
    </cfRule>
    <cfRule type="expression" dxfId="13" priority="11" stopIfTrue="1">
      <formula>AND($H9&lt;&gt;"G",$E9&lt;TODAY(),G9&lt;&gt;"erledigt")</formula>
    </cfRule>
    <cfRule type="expression" dxfId="12" priority="12" stopIfTrue="1">
      <formula>G9="läuft"</formula>
    </cfRule>
  </conditionalFormatting>
  <conditionalFormatting sqref="J4:AF6">
    <cfRule type="expression" dxfId="11" priority="7" stopIfTrue="1">
      <formula>AND(TODAY()&gt;=J$5,TODAY()&lt;=J$6)</formula>
    </cfRule>
  </conditionalFormatting>
  <conditionalFormatting sqref="J7:AF85">
    <cfRule type="expression" dxfId="10" priority="8" stopIfTrue="1">
      <formula>AND(TODAY()&gt;=J$5,TODAY()&lt;=J$6)</formula>
    </cfRule>
    <cfRule type="expression" dxfId="9" priority="9" stopIfTrue="1">
      <formula>AND(J$5&lt;=PauseEnde,J$6&gt;=PauseStart,COUNTIFS(Labortage,"&gt;="&amp;J$5,Labortage,"&lt;="&amp;J$6)=0)</formula>
    </cfRule>
  </conditionalFormatting>
  <conditionalFormatting sqref="J9:AF85">
    <cfRule type="expression" dxfId="8" priority="1" stopIfTrue="1">
      <formula>LEFT(J9,1)="◆"</formula>
    </cfRule>
    <cfRule type="expression" dxfId="7" priority="2" stopIfTrue="1">
      <formula>AND(J9=1,$H9="G")</formula>
    </cfRule>
    <cfRule type="expression" dxfId="6" priority="3" stopIfTrue="1">
      <formula>AND(J9=1,$C9=$C$2)</formula>
    </cfRule>
    <cfRule type="expression" dxfId="5" priority="4" stopIfTrue="1">
      <formula>AND(J9=1,$C9=$D$2)</formula>
    </cfRule>
    <cfRule type="expression" dxfId="4" priority="5" stopIfTrue="1">
      <formula>AND(J9=1,$C9=$E$2)</formula>
    </cfRule>
    <cfRule type="expression" dxfId="3" priority="6" stopIfTrue="1">
      <formula>J9=1</formula>
    </cfRule>
  </conditionalFormatting>
  <dataValidations count="2">
    <dataValidation type="list" allowBlank="1" errorTitle="Wer?" error="Bitte einen Namen aus der Legende wählen." sqref="C10:C16 C19 C21:C27 C30:C35 C37:C39 C42 C44:C48 C50:C55 C57:C61 C63:C66 C68:C85" xr:uid="{00000000-0002-0000-0000-000000000000}">
      <formula1>$C$2:$F$2</formula1>
    </dataValidation>
    <dataValidation type="list" allowBlank="1" sqref="G10:G16 G19 G21:G27 G30:G35 G37:G39 G42 G44:G48 G50:G55 G57:G61 G63:G66 G68:G85" xr:uid="{00000000-0002-0000-0000-000001000000}">
      <formula1>"offen,läuft,erledigt"</formula1>
    </dataValidation>
  </dataValidations>
  <pageMargins left="0.3" right="0.3" top="1" bottom="1" header="0.5" footer="0.5"/>
  <pageSetup paperSize="8" fitToHeight="0"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7"/>
  <sheetViews>
    <sheetView showGridLines="0" workbookViewId="0"/>
  </sheetViews>
  <sheetFormatPr baseColWidth="10" defaultColWidth="8.83203125" defaultRowHeight="15" x14ac:dyDescent="0.2"/>
  <cols>
    <col min="1" max="1" width="3" customWidth="1"/>
    <col min="2" max="2" width="12" customWidth="1"/>
    <col min="3" max="3" width="6" customWidth="1"/>
    <col min="4" max="4" width="11" customWidth="1"/>
    <col min="5" max="5" width="50" customWidth="1"/>
    <col min="6" max="6" width="11" customWidth="1"/>
    <col min="7" max="7" width="34" customWidth="1"/>
    <col min="8" max="8" width="10" customWidth="1"/>
  </cols>
  <sheetData>
    <row r="1" spans="1:8" x14ac:dyDescent="0.2">
      <c r="A1" s="2"/>
      <c r="B1" s="2"/>
      <c r="C1" s="2"/>
      <c r="D1" s="2"/>
      <c r="E1" s="2"/>
      <c r="F1" s="2"/>
      <c r="G1" s="2"/>
      <c r="H1" s="2"/>
    </row>
    <row r="2" spans="1:8" ht="18" x14ac:dyDescent="0.2">
      <c r="A2" s="2"/>
      <c r="B2" s="48" t="s">
        <v>192</v>
      </c>
      <c r="C2" s="2"/>
      <c r="D2" s="2"/>
      <c r="E2" s="2"/>
      <c r="F2" s="2"/>
      <c r="G2" s="2"/>
      <c r="H2" s="2"/>
    </row>
    <row r="3" spans="1:8" x14ac:dyDescent="0.2">
      <c r="A3" s="2"/>
      <c r="B3" s="10" t="s">
        <v>193</v>
      </c>
      <c r="C3" s="2"/>
      <c r="D3" s="2"/>
      <c r="E3" s="2"/>
      <c r="F3" s="2"/>
      <c r="G3" s="2"/>
      <c r="H3" s="2"/>
    </row>
    <row r="4" spans="1:8" x14ac:dyDescent="0.2">
      <c r="A4" s="2"/>
      <c r="B4" s="2"/>
      <c r="C4" s="2"/>
      <c r="D4" s="2"/>
      <c r="E4" s="2"/>
      <c r="F4" s="2"/>
      <c r="G4" s="2"/>
      <c r="H4" s="2"/>
    </row>
    <row r="5" spans="1:8" x14ac:dyDescent="0.2">
      <c r="A5" s="2"/>
      <c r="B5" s="15" t="s">
        <v>194</v>
      </c>
      <c r="C5" s="15" t="s">
        <v>195</v>
      </c>
      <c r="D5" s="15" t="s">
        <v>196</v>
      </c>
      <c r="E5" s="15" t="s">
        <v>197</v>
      </c>
      <c r="F5" s="15" t="s">
        <v>198</v>
      </c>
      <c r="G5" s="15" t="s">
        <v>199</v>
      </c>
      <c r="H5" s="49" t="s">
        <v>200</v>
      </c>
    </row>
    <row r="6" spans="1:8" x14ac:dyDescent="0.2">
      <c r="A6" s="2"/>
      <c r="B6" s="50">
        <v>46310</v>
      </c>
      <c r="C6" s="51" t="str">
        <f t="shared" ref="C6:C18" si="0">MID("MoDiMiDoFrSaSo",WEEKDAY(B6,2)*2-1,2)</f>
        <v>Do</v>
      </c>
      <c r="D6" s="51">
        <f t="shared" ref="D6:D18" si="1">_xlfn.ISOWEEKNUM(B6)</f>
        <v>42</v>
      </c>
      <c r="E6" s="52" t="s">
        <v>201</v>
      </c>
      <c r="F6" s="51" t="s">
        <v>202</v>
      </c>
      <c r="G6" s="52" t="s">
        <v>203</v>
      </c>
      <c r="H6" s="53">
        <f t="shared" ref="H6:H18" ca="1" si="2">B6-TODAY()</f>
        <v>-7</v>
      </c>
    </row>
    <row r="7" spans="1:8" x14ac:dyDescent="0.2">
      <c r="A7" s="2"/>
      <c r="B7" s="50">
        <v>46316</v>
      </c>
      <c r="C7" s="51" t="str">
        <f t="shared" si="0"/>
        <v>Mi</v>
      </c>
      <c r="D7" s="51">
        <f t="shared" si="1"/>
        <v>43</v>
      </c>
      <c r="E7" s="52" t="s">
        <v>204</v>
      </c>
      <c r="F7" s="51" t="s">
        <v>202</v>
      </c>
      <c r="G7" s="52" t="s">
        <v>203</v>
      </c>
      <c r="H7" s="53">
        <f t="shared" ca="1" si="2"/>
        <v>-1</v>
      </c>
    </row>
    <row r="8" spans="1:8" x14ac:dyDescent="0.2">
      <c r="A8" s="2"/>
      <c r="B8" s="50">
        <v>46323</v>
      </c>
      <c r="C8" s="51" t="str">
        <f t="shared" si="0"/>
        <v>Mi</v>
      </c>
      <c r="D8" s="51">
        <f t="shared" si="1"/>
        <v>44</v>
      </c>
      <c r="E8" s="52" t="s">
        <v>205</v>
      </c>
      <c r="F8" s="51" t="s">
        <v>202</v>
      </c>
      <c r="G8" s="52" t="s">
        <v>203</v>
      </c>
      <c r="H8" s="53">
        <f t="shared" ca="1" si="2"/>
        <v>6</v>
      </c>
    </row>
    <row r="9" spans="1:8" x14ac:dyDescent="0.2">
      <c r="A9" s="2"/>
      <c r="B9" s="50">
        <v>46337</v>
      </c>
      <c r="C9" s="51" t="str">
        <f t="shared" si="0"/>
        <v>Mi</v>
      </c>
      <c r="D9" s="51">
        <f t="shared" si="1"/>
        <v>46</v>
      </c>
      <c r="E9" s="52" t="s">
        <v>206</v>
      </c>
      <c r="F9" s="51" t="s">
        <v>202</v>
      </c>
      <c r="G9" s="52" t="s">
        <v>203</v>
      </c>
      <c r="H9" s="53">
        <f t="shared" ca="1" si="2"/>
        <v>20</v>
      </c>
    </row>
    <row r="10" spans="1:8" x14ac:dyDescent="0.2">
      <c r="A10" s="2"/>
      <c r="B10" s="50">
        <v>46365</v>
      </c>
      <c r="C10" s="51" t="str">
        <f t="shared" si="0"/>
        <v>Mi</v>
      </c>
      <c r="D10" s="51">
        <f t="shared" si="1"/>
        <v>50</v>
      </c>
      <c r="E10" s="52" t="s">
        <v>207</v>
      </c>
      <c r="F10" s="51" t="s">
        <v>202</v>
      </c>
      <c r="G10" s="52" t="s">
        <v>203</v>
      </c>
      <c r="H10" s="53">
        <f t="shared" ca="1" si="2"/>
        <v>48</v>
      </c>
    </row>
    <row r="11" spans="1:8" x14ac:dyDescent="0.2">
      <c r="A11" s="2"/>
      <c r="B11" s="50">
        <v>46407</v>
      </c>
      <c r="C11" s="51" t="str">
        <f t="shared" si="0"/>
        <v>Mi</v>
      </c>
      <c r="D11" s="51">
        <f t="shared" si="1"/>
        <v>3</v>
      </c>
      <c r="E11" s="52" t="s">
        <v>208</v>
      </c>
      <c r="F11" s="51" t="s">
        <v>202</v>
      </c>
      <c r="G11" s="52" t="s">
        <v>203</v>
      </c>
      <c r="H11" s="53">
        <f t="shared" ca="1" si="2"/>
        <v>90</v>
      </c>
    </row>
    <row r="12" spans="1:8" x14ac:dyDescent="0.2">
      <c r="A12" s="2"/>
      <c r="B12" s="50">
        <v>46410</v>
      </c>
      <c r="C12" s="51" t="str">
        <f t="shared" si="0"/>
        <v>Sa</v>
      </c>
      <c r="D12" s="51">
        <f t="shared" si="1"/>
        <v>3</v>
      </c>
      <c r="E12" s="52" t="s">
        <v>209</v>
      </c>
      <c r="F12" s="51" t="s">
        <v>210</v>
      </c>
      <c r="G12" s="52" t="s">
        <v>211</v>
      </c>
      <c r="H12" s="53">
        <f t="shared" ca="1" si="2"/>
        <v>93</v>
      </c>
    </row>
    <row r="13" spans="1:8" x14ac:dyDescent="0.2">
      <c r="A13" s="2"/>
      <c r="B13" s="50">
        <v>46414</v>
      </c>
      <c r="C13" s="51" t="str">
        <f t="shared" si="0"/>
        <v>Mi</v>
      </c>
      <c r="D13" s="51">
        <f t="shared" si="1"/>
        <v>4</v>
      </c>
      <c r="E13" s="52" t="s">
        <v>212</v>
      </c>
      <c r="F13" s="51" t="s">
        <v>202</v>
      </c>
      <c r="G13" s="52" t="s">
        <v>203</v>
      </c>
      <c r="H13" s="53">
        <f t="shared" ca="1" si="2"/>
        <v>97</v>
      </c>
    </row>
    <row r="14" spans="1:8" x14ac:dyDescent="0.2">
      <c r="A14" s="2"/>
      <c r="B14" s="50">
        <v>46415</v>
      </c>
      <c r="C14" s="51" t="str">
        <f t="shared" si="0"/>
        <v>Do</v>
      </c>
      <c r="D14" s="51">
        <f t="shared" si="1"/>
        <v>4</v>
      </c>
      <c r="E14" s="52" t="s">
        <v>213</v>
      </c>
      <c r="F14" s="51" t="s">
        <v>202</v>
      </c>
      <c r="G14" s="52" t="s">
        <v>214</v>
      </c>
      <c r="H14" s="53">
        <f t="shared" ca="1" si="2"/>
        <v>98</v>
      </c>
    </row>
    <row r="15" spans="1:8" x14ac:dyDescent="0.2">
      <c r="A15" s="2"/>
      <c r="B15" s="50">
        <v>46425</v>
      </c>
      <c r="C15" s="51" t="str">
        <f t="shared" si="0"/>
        <v>So</v>
      </c>
      <c r="D15" s="51">
        <f t="shared" si="1"/>
        <v>5</v>
      </c>
      <c r="E15" s="52" t="s">
        <v>215</v>
      </c>
      <c r="F15" s="51" t="s">
        <v>216</v>
      </c>
      <c r="G15" s="52" t="s">
        <v>203</v>
      </c>
      <c r="H15" s="53">
        <f t="shared" ca="1" si="2"/>
        <v>108</v>
      </c>
    </row>
    <row r="16" spans="1:8" x14ac:dyDescent="0.2">
      <c r="A16" s="2"/>
      <c r="B16" s="50">
        <v>46439</v>
      </c>
      <c r="C16" s="51" t="str">
        <f t="shared" si="0"/>
        <v>So</v>
      </c>
      <c r="D16" s="51">
        <f t="shared" si="1"/>
        <v>7</v>
      </c>
      <c r="E16" s="52" t="s">
        <v>217</v>
      </c>
      <c r="F16" s="51" t="s">
        <v>216</v>
      </c>
      <c r="G16" s="52" t="s">
        <v>203</v>
      </c>
      <c r="H16" s="53">
        <f t="shared" ca="1" si="2"/>
        <v>122</v>
      </c>
    </row>
    <row r="17" spans="1:8" x14ac:dyDescent="0.2">
      <c r="A17" s="2"/>
      <c r="B17" s="50">
        <v>46456</v>
      </c>
      <c r="C17" s="51" t="str">
        <f t="shared" si="0"/>
        <v>Mi</v>
      </c>
      <c r="D17" s="51">
        <f t="shared" si="1"/>
        <v>10</v>
      </c>
      <c r="E17" s="52" t="s">
        <v>218</v>
      </c>
      <c r="F17" s="51" t="s">
        <v>210</v>
      </c>
      <c r="G17" s="52" t="s">
        <v>211</v>
      </c>
      <c r="H17" s="53">
        <f t="shared" ca="1" si="2"/>
        <v>139</v>
      </c>
    </row>
    <row r="18" spans="1:8" x14ac:dyDescent="0.2">
      <c r="A18" s="2"/>
      <c r="B18" s="50">
        <v>46461</v>
      </c>
      <c r="C18" s="51" t="str">
        <f t="shared" si="0"/>
        <v>Mo</v>
      </c>
      <c r="D18" s="51">
        <f t="shared" si="1"/>
        <v>11</v>
      </c>
      <c r="E18" s="52" t="s">
        <v>219</v>
      </c>
      <c r="F18" s="51" t="s">
        <v>202</v>
      </c>
      <c r="G18" s="52" t="s">
        <v>203</v>
      </c>
      <c r="H18" s="53">
        <f t="shared" ca="1" si="2"/>
        <v>144</v>
      </c>
    </row>
    <row r="19" spans="1:8" x14ac:dyDescent="0.2">
      <c r="A19" s="2"/>
      <c r="B19" s="2"/>
      <c r="C19" s="2"/>
      <c r="D19" s="2"/>
      <c r="E19" s="2"/>
      <c r="F19" s="2"/>
      <c r="G19" s="2"/>
      <c r="H19" s="2"/>
    </row>
    <row r="20" spans="1:8" x14ac:dyDescent="0.2">
      <c r="A20" s="2"/>
      <c r="B20" s="2"/>
      <c r="C20" s="2"/>
      <c r="D20" s="2"/>
      <c r="E20" s="2"/>
      <c r="F20" s="2"/>
      <c r="G20" s="2"/>
      <c r="H20" s="2"/>
    </row>
    <row r="21" spans="1:8" x14ac:dyDescent="0.2">
      <c r="A21" s="2"/>
      <c r="B21" s="54" t="s">
        <v>220</v>
      </c>
      <c r="C21" s="2"/>
      <c r="D21" s="2"/>
      <c r="E21" s="2"/>
      <c r="F21" s="2"/>
      <c r="G21" s="2"/>
      <c r="H21" s="2"/>
    </row>
    <row r="22" spans="1:8" x14ac:dyDescent="0.2">
      <c r="A22" s="2"/>
      <c r="B22" s="55">
        <v>46310</v>
      </c>
      <c r="C22" s="56" t="str">
        <f t="shared" ref="C22:C36" si="3">MID("MoDiMiDoFrSaSo",WEEKDAY(B22,2)*2-1,2)</f>
        <v>Do</v>
      </c>
      <c r="D22" s="2"/>
      <c r="E22" s="2"/>
      <c r="F22" s="2"/>
      <c r="G22" s="2"/>
      <c r="H22" s="2"/>
    </row>
    <row r="23" spans="1:8" x14ac:dyDescent="0.2">
      <c r="A23" s="2"/>
      <c r="B23" s="55">
        <v>46317</v>
      </c>
      <c r="C23" s="56" t="str">
        <f t="shared" si="3"/>
        <v>Do</v>
      </c>
      <c r="D23" s="2"/>
      <c r="E23" s="2"/>
      <c r="F23" s="2"/>
      <c r="G23" s="2"/>
      <c r="H23" s="2"/>
    </row>
    <row r="24" spans="1:8" x14ac:dyDescent="0.2">
      <c r="A24" s="2"/>
      <c r="B24" s="55">
        <v>46324</v>
      </c>
      <c r="C24" s="56" t="str">
        <f t="shared" si="3"/>
        <v>Do</v>
      </c>
      <c r="D24" s="2"/>
      <c r="E24" s="2"/>
      <c r="F24" s="2"/>
      <c r="G24" s="2"/>
      <c r="H24" s="2"/>
    </row>
    <row r="25" spans="1:8" x14ac:dyDescent="0.2">
      <c r="A25" s="2"/>
      <c r="B25" s="55">
        <v>46331</v>
      </c>
      <c r="C25" s="56" t="str">
        <f t="shared" si="3"/>
        <v>Do</v>
      </c>
      <c r="D25" s="2"/>
      <c r="E25" s="2"/>
      <c r="F25" s="2"/>
      <c r="G25" s="2"/>
      <c r="H25" s="2"/>
    </row>
    <row r="26" spans="1:8" x14ac:dyDescent="0.2">
      <c r="A26" s="2"/>
      <c r="B26" s="55">
        <v>46338</v>
      </c>
      <c r="C26" s="56" t="str">
        <f t="shared" si="3"/>
        <v>Do</v>
      </c>
      <c r="D26" s="2"/>
      <c r="E26" s="2"/>
      <c r="F26" s="2"/>
      <c r="G26" s="2"/>
      <c r="H26" s="2"/>
    </row>
    <row r="27" spans="1:8" x14ac:dyDescent="0.2">
      <c r="A27" s="2"/>
      <c r="B27" s="55">
        <v>46345</v>
      </c>
      <c r="C27" s="56" t="str">
        <f t="shared" si="3"/>
        <v>Do</v>
      </c>
      <c r="D27" s="2"/>
      <c r="E27" s="2"/>
      <c r="F27" s="2"/>
      <c r="G27" s="2"/>
      <c r="H27" s="2"/>
    </row>
    <row r="28" spans="1:8" x14ac:dyDescent="0.2">
      <c r="A28" s="2"/>
      <c r="B28" s="55">
        <v>46352</v>
      </c>
      <c r="C28" s="56" t="str">
        <f t="shared" si="3"/>
        <v>Do</v>
      </c>
      <c r="D28" s="2"/>
      <c r="E28" s="2"/>
      <c r="F28" s="2"/>
      <c r="G28" s="2"/>
      <c r="H28" s="2"/>
    </row>
    <row r="29" spans="1:8" x14ac:dyDescent="0.2">
      <c r="A29" s="2"/>
      <c r="B29" s="55">
        <v>46359</v>
      </c>
      <c r="C29" s="56" t="str">
        <f t="shared" si="3"/>
        <v>Do</v>
      </c>
      <c r="D29" s="2"/>
      <c r="E29" s="2"/>
      <c r="F29" s="2"/>
      <c r="G29" s="2"/>
      <c r="H29" s="2"/>
    </row>
    <row r="30" spans="1:8" x14ac:dyDescent="0.2">
      <c r="A30" s="2"/>
      <c r="B30" s="55">
        <v>46366</v>
      </c>
      <c r="C30" s="56" t="str">
        <f t="shared" si="3"/>
        <v>Do</v>
      </c>
      <c r="D30" s="2"/>
      <c r="E30" s="2"/>
      <c r="F30" s="2"/>
      <c r="G30" s="2"/>
      <c r="H30" s="2"/>
    </row>
    <row r="31" spans="1:8" x14ac:dyDescent="0.2">
      <c r="A31" s="2"/>
      <c r="B31" s="55">
        <v>46373</v>
      </c>
      <c r="C31" s="56" t="str">
        <f t="shared" si="3"/>
        <v>Do</v>
      </c>
      <c r="D31" s="2"/>
      <c r="E31" s="2"/>
      <c r="F31" s="2"/>
      <c r="G31" s="2"/>
      <c r="H31" s="2"/>
    </row>
    <row r="32" spans="1:8" x14ac:dyDescent="0.2">
      <c r="A32" s="2"/>
      <c r="B32" s="55">
        <v>46401</v>
      </c>
      <c r="C32" s="56" t="str">
        <f t="shared" si="3"/>
        <v>Do</v>
      </c>
      <c r="D32" s="2"/>
      <c r="E32" s="2"/>
      <c r="F32" s="2"/>
      <c r="G32" s="2"/>
      <c r="H32" s="2"/>
    </row>
    <row r="33" spans="1:8" x14ac:dyDescent="0.2">
      <c r="A33" s="2"/>
      <c r="B33" s="55">
        <v>46408</v>
      </c>
      <c r="C33" s="56" t="str">
        <f t="shared" si="3"/>
        <v>Do</v>
      </c>
      <c r="D33" s="2"/>
      <c r="E33" s="2"/>
      <c r="F33" s="2"/>
      <c r="G33" s="2"/>
      <c r="H33" s="2"/>
    </row>
    <row r="34" spans="1:8" x14ac:dyDescent="0.2">
      <c r="A34" s="2"/>
      <c r="B34" s="55">
        <v>46415</v>
      </c>
      <c r="C34" s="56" t="str">
        <f t="shared" si="3"/>
        <v>Do</v>
      </c>
      <c r="D34" s="2"/>
      <c r="E34" s="2"/>
      <c r="F34" s="2"/>
      <c r="G34" s="2"/>
      <c r="H34" s="2"/>
    </row>
    <row r="35" spans="1:8" x14ac:dyDescent="0.2">
      <c r="A35" s="2"/>
      <c r="B35" s="55">
        <v>46422</v>
      </c>
      <c r="C35" s="56" t="str">
        <f t="shared" si="3"/>
        <v>Do</v>
      </c>
      <c r="D35" s="2"/>
      <c r="E35" s="2"/>
      <c r="F35" s="2"/>
      <c r="G35" s="2"/>
      <c r="H35" s="2"/>
    </row>
    <row r="36" spans="1:8" x14ac:dyDescent="0.2">
      <c r="A36" s="2"/>
      <c r="B36" s="55">
        <v>46429</v>
      </c>
      <c r="C36" s="56" t="str">
        <f t="shared" si="3"/>
        <v>Do</v>
      </c>
      <c r="D36" s="2"/>
      <c r="E36" s="2"/>
      <c r="F36" s="2"/>
      <c r="G36" s="2"/>
      <c r="H36" s="2"/>
    </row>
    <row r="37" spans="1:8" x14ac:dyDescent="0.2">
      <c r="A37" s="2"/>
      <c r="B37" s="2"/>
      <c r="C37" s="2"/>
      <c r="D37" s="2"/>
      <c r="E37" s="2"/>
      <c r="F37" s="2"/>
      <c r="G37" s="2"/>
      <c r="H37" s="2"/>
    </row>
    <row r="38" spans="1:8" x14ac:dyDescent="0.2">
      <c r="A38" s="2"/>
      <c r="B38" s="2"/>
      <c r="C38" s="2"/>
      <c r="D38" s="2"/>
      <c r="E38" s="2"/>
      <c r="F38" s="2"/>
      <c r="G38" s="2"/>
      <c r="H38" s="2"/>
    </row>
    <row r="39" spans="1:8" x14ac:dyDescent="0.2">
      <c r="A39" s="2"/>
      <c r="B39" s="2"/>
      <c r="C39" s="2"/>
      <c r="D39" s="2"/>
      <c r="E39" s="2"/>
      <c r="F39" s="2"/>
      <c r="G39" s="2"/>
      <c r="H39" s="2"/>
    </row>
    <row r="40" spans="1:8" x14ac:dyDescent="0.2">
      <c r="A40" s="2"/>
      <c r="B40" s="2"/>
      <c r="C40" s="2"/>
      <c r="D40" s="2"/>
      <c r="E40" s="2"/>
      <c r="F40" s="2"/>
      <c r="G40" s="2"/>
      <c r="H40" s="2"/>
    </row>
    <row r="41" spans="1:8" x14ac:dyDescent="0.2">
      <c r="A41" s="2"/>
      <c r="B41" s="2"/>
      <c r="C41" s="2"/>
      <c r="D41" s="2"/>
      <c r="E41" s="57" t="s">
        <v>221</v>
      </c>
      <c r="F41" s="2"/>
      <c r="G41" s="2"/>
      <c r="H41" s="2"/>
    </row>
    <row r="42" spans="1:8" x14ac:dyDescent="0.2">
      <c r="A42" s="2"/>
      <c r="B42" s="2"/>
      <c r="C42" s="2"/>
      <c r="D42" s="2"/>
      <c r="E42" s="2"/>
      <c r="F42" s="2"/>
      <c r="G42" s="2"/>
      <c r="H42" s="2"/>
    </row>
    <row r="43" spans="1:8" x14ac:dyDescent="0.2">
      <c r="A43" s="2"/>
      <c r="B43" s="2"/>
      <c r="C43" s="2"/>
      <c r="D43" s="2"/>
      <c r="E43" s="2"/>
      <c r="F43" s="2"/>
      <c r="G43" s="2"/>
      <c r="H43" s="2"/>
    </row>
    <row r="44" spans="1:8" x14ac:dyDescent="0.2">
      <c r="A44" s="2"/>
      <c r="B44" s="54" t="s">
        <v>11</v>
      </c>
      <c r="C44" s="2"/>
      <c r="D44" s="2"/>
      <c r="E44" s="2"/>
      <c r="F44" s="2"/>
      <c r="G44" s="2"/>
      <c r="H44" s="2"/>
    </row>
    <row r="45" spans="1:8" x14ac:dyDescent="0.2">
      <c r="A45" s="2"/>
      <c r="B45" s="55">
        <v>46374</v>
      </c>
      <c r="C45" s="2" t="s">
        <v>222</v>
      </c>
      <c r="D45" s="55">
        <v>46400</v>
      </c>
      <c r="E45" s="10" t="s">
        <v>223</v>
      </c>
      <c r="F45" s="2"/>
      <c r="G45" s="2"/>
      <c r="H45" s="2"/>
    </row>
    <row r="46" spans="1:8" x14ac:dyDescent="0.2">
      <c r="A46" s="2"/>
      <c r="B46" s="2"/>
      <c r="C46" s="2"/>
      <c r="D46" s="2"/>
      <c r="E46" s="2"/>
      <c r="F46" s="2"/>
      <c r="G46" s="2"/>
      <c r="H46" s="2"/>
    </row>
    <row r="47" spans="1:8" x14ac:dyDescent="0.2">
      <c r="A47" s="2"/>
      <c r="B47" s="2"/>
      <c r="C47" s="2"/>
      <c r="D47" s="2"/>
      <c r="E47" s="2"/>
      <c r="F47" s="2"/>
      <c r="G47" s="2"/>
      <c r="H47" s="2"/>
    </row>
    <row r="48" spans="1:8" x14ac:dyDescent="0.2">
      <c r="A48" s="2"/>
      <c r="B48" s="54" t="s">
        <v>224</v>
      </c>
      <c r="C48" s="2"/>
      <c r="D48" s="2"/>
      <c r="E48" s="2"/>
      <c r="F48" s="2"/>
      <c r="G48" s="2"/>
      <c r="H48" s="2"/>
    </row>
    <row r="49" spans="1:8" x14ac:dyDescent="0.2">
      <c r="A49" s="2"/>
      <c r="B49" s="10" t="s">
        <v>225</v>
      </c>
      <c r="C49" s="56" t="s">
        <v>226</v>
      </c>
      <c r="D49" s="2"/>
      <c r="E49" s="2"/>
      <c r="F49" s="2"/>
      <c r="G49" s="2"/>
      <c r="H49" s="2"/>
    </row>
    <row r="50" spans="1:8" x14ac:dyDescent="0.2">
      <c r="A50" s="2"/>
      <c r="B50" s="10" t="s">
        <v>225</v>
      </c>
      <c r="C50" s="56" t="s">
        <v>227</v>
      </c>
      <c r="D50" s="2"/>
      <c r="E50" s="2"/>
      <c r="F50" s="2"/>
      <c r="G50" s="2"/>
      <c r="H50" s="2"/>
    </row>
    <row r="51" spans="1:8" x14ac:dyDescent="0.2">
      <c r="A51" s="2"/>
      <c r="B51" s="10" t="s">
        <v>225</v>
      </c>
      <c r="C51" s="56" t="s">
        <v>228</v>
      </c>
      <c r="D51" s="2"/>
      <c r="E51" s="2"/>
      <c r="F51" s="2"/>
      <c r="G51" s="2"/>
      <c r="H51" s="2"/>
    </row>
    <row r="52" spans="1:8" x14ac:dyDescent="0.2">
      <c r="A52" s="2"/>
      <c r="B52" s="10" t="s">
        <v>225</v>
      </c>
      <c r="C52" s="56" t="s">
        <v>229</v>
      </c>
      <c r="D52" s="2"/>
      <c r="E52" s="2"/>
      <c r="F52" s="2"/>
      <c r="G52" s="2"/>
      <c r="H52" s="2"/>
    </row>
    <row r="53" spans="1:8" x14ac:dyDescent="0.2">
      <c r="A53" s="2"/>
      <c r="B53" s="10" t="s">
        <v>225</v>
      </c>
      <c r="C53" s="56" t="s">
        <v>230</v>
      </c>
      <c r="D53" s="2"/>
      <c r="E53" s="2"/>
      <c r="F53" s="2"/>
      <c r="G53" s="2"/>
      <c r="H53" s="2"/>
    </row>
    <row r="54" spans="1:8" x14ac:dyDescent="0.2">
      <c r="A54" s="2"/>
      <c r="B54" s="10" t="s">
        <v>225</v>
      </c>
      <c r="C54" s="56" t="s">
        <v>231</v>
      </c>
      <c r="D54" s="2"/>
      <c r="E54" s="2"/>
      <c r="F54" s="2"/>
      <c r="G54" s="2"/>
      <c r="H54" s="2"/>
    </row>
    <row r="55" spans="1:8" x14ac:dyDescent="0.2">
      <c r="A55" s="2"/>
      <c r="B55" s="10" t="s">
        <v>225</v>
      </c>
      <c r="C55" s="56" t="s">
        <v>232</v>
      </c>
      <c r="D55" s="2"/>
      <c r="E55" s="2"/>
      <c r="F55" s="2"/>
      <c r="G55" s="2"/>
      <c r="H55" s="2"/>
    </row>
    <row r="56" spans="1:8" x14ac:dyDescent="0.2">
      <c r="A56" s="2"/>
      <c r="B56" s="10" t="s">
        <v>225</v>
      </c>
      <c r="C56" s="56" t="s">
        <v>233</v>
      </c>
      <c r="D56" s="2"/>
      <c r="E56" s="2"/>
      <c r="F56" s="2"/>
      <c r="G56" s="2"/>
      <c r="H56" s="2"/>
    </row>
    <row r="57" spans="1:8" x14ac:dyDescent="0.2">
      <c r="A57" s="2"/>
      <c r="B57" s="10" t="s">
        <v>225</v>
      </c>
      <c r="C57" s="56" t="s">
        <v>234</v>
      </c>
      <c r="D57" s="2"/>
      <c r="E57" s="2"/>
      <c r="F57" s="2"/>
      <c r="G57" s="2"/>
      <c r="H57" s="2"/>
    </row>
  </sheetData>
  <conditionalFormatting sqref="B6:G18">
    <cfRule type="expression" dxfId="2" priority="3">
      <formula>$H6&lt;0</formula>
    </cfRule>
  </conditionalFormatting>
  <conditionalFormatting sqref="H6:H18">
    <cfRule type="expression" dxfId="1" priority="1" stopIfTrue="1">
      <formula>H6&lt;0</formula>
    </cfRule>
    <cfRule type="expression" dxfId="0" priority="2">
      <formula>H6&lt;=7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Arbeitsplan</vt:lpstr>
      <vt:lpstr>Termine</vt:lpstr>
      <vt:lpstr>Labortage</vt:lpstr>
      <vt:lpstr>PauseEnde</vt:lpstr>
      <vt:lpstr>PauseStart</vt:lpstr>
      <vt:lpstr>Arbeitsplan!Print_Titles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Kristijan Manevski</cp:lastModifiedBy>
  <dcterms:created xsi:type="dcterms:W3CDTF">2026-10-22T11:00:36Z</dcterms:created>
  <dcterms:modified xsi:type="dcterms:W3CDTF">2026-10-22T13:36:25Z</dcterms:modified>
</cp:coreProperties>
</file>